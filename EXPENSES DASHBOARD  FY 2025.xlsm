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C:\Users\Ccxtall\Downloads\"/>
    </mc:Choice>
  </mc:AlternateContent>
  <xr:revisionPtr revIDLastSave="0" documentId="13_ncr:1_{3D0FA3E2-10A4-4429-9914-B600B5A2ED91}" xr6:coauthVersionLast="47" xr6:coauthVersionMax="47" xr10:uidLastSave="{00000000-0000-0000-0000-000000000000}"/>
  <bookViews>
    <workbookView xWindow="-110" yWindow="-110" windowWidth="19420" windowHeight="10420" activeTab="3" xr2:uid="{CE7C6016-0442-4699-AE9F-5CF5ED083DB1}"/>
  </bookViews>
  <sheets>
    <sheet name="Row data" sheetId="4" r:id="rId1"/>
    <sheet name="Data" sheetId="1" r:id="rId2"/>
    <sheet name="Pivot" sheetId="2" r:id="rId3"/>
    <sheet name="Dashboard" sheetId="3" r:id="rId4"/>
  </sheets>
  <definedNames>
    <definedName name="Slicer_Department">#N/A</definedName>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2" i="3"/>
  <c r="AF5" i="3"/>
  <c r="AF4" i="3"/>
  <c r="AF3" i="3"/>
  <c r="AF7" i="3" l="1"/>
  <c r="AF6" i="3"/>
</calcChain>
</file>

<file path=xl/sharedStrings.xml><?xml version="1.0" encoding="utf-8"?>
<sst xmlns="http://schemas.openxmlformats.org/spreadsheetml/2006/main" count="6738" uniqueCount="938">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</sst>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5" x14ac:knownFonts="1">
    <font>
      <sz val="11"/>
      <color theme="1"/>
      <name val="Aptos Narrow"/>
      <family val="2"/>
      <scheme val="minor"/>
    </font>
    <font>
      <b/>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7">
    <xf numFmtId="0" fontId="0" fillId="0" borderId="0" xfId="0"/>
    <xf numFmtId="164" fontId="0" fillId="0" borderId="0" xfId="0" applyNumberFormat="1"/>
    <xf numFmtId="165" fontId="0" fillId="0" borderId="0" xfId="0" applyNumberFormat="1"/>
    <xf numFmtId="0" fontId="1" fillId="0" borderId="0" xfId="0" applyFont="1"/>
    <xf numFmtId="0" fontId="2" fillId="2" borderId="0" xfId="0" applyFont="1" applyFill="1"/>
    <xf numFmtId="0" fontId="0" fillId="0" borderId="0" xfId="0" pivotButton="1"/>
    <xf numFmtId="3" fontId="0" fillId="0" borderId="0" xfId="0" applyNumberFormat="1"/>
    <xf numFmtId="0" fontId="3" fillId="3" borderId="0" xfId="0" applyFont="1" applyFill="1"/>
    <xf numFmtId="165" fontId="3" fillId="3" borderId="0" xfId="0" applyNumberFormat="1" applyFont="1" applyFill="1"/>
    <xf numFmtId="3" fontId="3" fillId="3" borderId="0" xfId="0" applyNumberFormat="1" applyFont="1" applyFill="1"/>
    <xf numFmtId="166" fontId="3" fillId="3" borderId="0" xfId="0" applyNumberFormat="1" applyFont="1" applyFill="1"/>
    <xf numFmtId="0" fontId="3" fillId="3" borderId="0" xfId="0" applyFont="1" applyFill="1" applyAlignment="1">
      <alignment vertical="center"/>
    </xf>
    <xf numFmtId="0" fontId="0" fillId="0" borderId="0" xfId="0" applyAlignment="1">
      <alignment horizontal="center"/>
    </xf>
    <xf numFmtId="0" fontId="4" fillId="0" borderId="0" xfId="0" pivotButton="1" applyFont="1"/>
    <xf numFmtId="0" fontId="4" fillId="0" borderId="0" xfId="0" applyFont="1"/>
    <xf numFmtId="165" fontId="4" fillId="0" borderId="0" xfId="0" applyNumberFormat="1" applyFont="1"/>
    <xf numFmtId="3" fontId="4" fillId="0" borderId="0" xfId="0" applyNumberFormat="1" applyFont="1"/>
  </cellXfs>
  <cellStyles count="1">
    <cellStyle name="Normal" xfId="0" builtinId="0"/>
  </cellStyles>
  <dxfs count="74">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8CBA-4BE1-A58A-2B6EA2DFBEAF}"/>
            </c:ext>
          </c:extLst>
        </c:ser>
        <c:dLbls>
          <c:showLegendKey val="0"/>
          <c:showVal val="0"/>
          <c:showCatName val="0"/>
          <c:showSerName val="0"/>
          <c:showPercent val="0"/>
          <c:showBubbleSize val="0"/>
        </c:dLbls>
        <c:gapWidth val="150"/>
        <c:axId val="948213071"/>
        <c:axId val="948197231"/>
      </c:barChart>
      <c:catAx>
        <c:axId val="948213071"/>
        <c:scaling>
          <c:orientation val="minMax"/>
        </c:scaling>
        <c:delete val="0"/>
        <c:axPos val="b"/>
        <c:numFmt formatCode="General" sourceLinked="1"/>
        <c:majorTickMark val="out"/>
        <c:minorTickMark val="none"/>
        <c:tickLblPos val="nextTo"/>
        <c:spPr>
          <a:ln>
            <a:solidFill>
              <a:srgbClr val="D2D2D2"/>
            </a:solidFill>
          </a:ln>
        </c:spPr>
        <c:crossAx val="948197231"/>
        <c:crosses val="autoZero"/>
        <c:auto val="1"/>
        <c:lblAlgn val="ctr"/>
        <c:lblOffset val="100"/>
        <c:noMultiLvlLbl val="0"/>
      </c:catAx>
      <c:valAx>
        <c:axId val="94819723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48213071"/>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876719030080214E-2"/>
          <c:y val="0.14040905955301919"/>
          <c:w val="0.27696403642421863"/>
          <c:h val="0.7508800081525786"/>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679B-4BCC-8147-A7673B89E5A9}"/>
              </c:ext>
            </c:extLst>
          </c:dPt>
          <c:dPt>
            <c:idx val="1"/>
            <c:bubble3D val="0"/>
            <c:spPr>
              <a:solidFill>
                <a:srgbClr val="84C637"/>
              </a:solidFill>
              <a:ln>
                <a:solidFill>
                  <a:srgbClr val="FFFFFF"/>
                </a:solidFill>
              </a:ln>
            </c:spPr>
            <c:extLst>
              <c:ext xmlns:c16="http://schemas.microsoft.com/office/drawing/2014/chart" uri="{C3380CC4-5D6E-409C-BE32-E72D297353CC}">
                <c16:uniqueId val="{00000002-679B-4BCC-8147-A7673B89E5A9}"/>
              </c:ext>
            </c:extLst>
          </c:dPt>
          <c:dPt>
            <c:idx val="2"/>
            <c:bubble3D val="0"/>
            <c:spPr>
              <a:solidFill>
                <a:srgbClr val="5DB13A"/>
              </a:solidFill>
              <a:ln>
                <a:solidFill>
                  <a:srgbClr val="FFFFFF"/>
                </a:solidFill>
              </a:ln>
            </c:spPr>
            <c:extLst>
              <c:ext xmlns:c16="http://schemas.microsoft.com/office/drawing/2014/chart" uri="{C3380CC4-5D6E-409C-BE32-E72D297353CC}">
                <c16:uniqueId val="{00000003-679B-4BCC-8147-A7673B89E5A9}"/>
              </c:ext>
            </c:extLst>
          </c:dPt>
          <c:dPt>
            <c:idx val="3"/>
            <c:bubble3D val="0"/>
            <c:spPr>
              <a:solidFill>
                <a:srgbClr val="168A96"/>
              </a:solidFill>
              <a:ln>
                <a:solidFill>
                  <a:srgbClr val="FFFFFF"/>
                </a:solidFill>
              </a:ln>
            </c:spPr>
            <c:extLst>
              <c:ext xmlns:c16="http://schemas.microsoft.com/office/drawing/2014/chart" uri="{C3380CC4-5D6E-409C-BE32-E72D297353CC}">
                <c16:uniqueId val="{00000004-679B-4BCC-8147-A7673B89E5A9}"/>
              </c:ext>
            </c:extLst>
          </c:dPt>
          <c:dPt>
            <c:idx val="4"/>
            <c:bubble3D val="0"/>
            <c:spPr>
              <a:solidFill>
                <a:srgbClr val="7030A0"/>
              </a:solidFill>
              <a:ln>
                <a:solidFill>
                  <a:srgbClr val="FFFFFF"/>
                </a:solidFill>
              </a:ln>
            </c:spPr>
            <c:extLst>
              <c:ext xmlns:c16="http://schemas.microsoft.com/office/drawing/2014/chart" uri="{C3380CC4-5D6E-409C-BE32-E72D297353CC}">
                <c16:uniqueId val="{00000005-679B-4BCC-8147-A7673B89E5A9}"/>
              </c:ext>
            </c:extLst>
          </c:dPt>
          <c:dPt>
            <c:idx val="5"/>
            <c:bubble3D val="0"/>
            <c:spPr>
              <a:solidFill>
                <a:srgbClr val="618724"/>
              </a:solidFill>
              <a:ln>
                <a:solidFill>
                  <a:srgbClr val="FFFFFF"/>
                </a:solidFill>
              </a:ln>
            </c:spPr>
            <c:extLst>
              <c:ext xmlns:c16="http://schemas.microsoft.com/office/drawing/2014/chart" uri="{C3380CC4-5D6E-409C-BE32-E72D297353CC}">
                <c16:uniqueId val="{00000006-679B-4BCC-8147-A7673B89E5A9}"/>
              </c:ext>
            </c:extLst>
          </c:dPt>
          <c:dPt>
            <c:idx val="6"/>
            <c:bubble3D val="0"/>
            <c:spPr>
              <a:solidFill>
                <a:srgbClr val="91A0AA"/>
              </a:solidFill>
              <a:ln>
                <a:solidFill>
                  <a:srgbClr val="FFFFFF"/>
                </a:solidFill>
              </a:ln>
            </c:spPr>
            <c:extLst>
              <c:ext xmlns:c16="http://schemas.microsoft.com/office/drawing/2014/chart" uri="{C3380CC4-5D6E-409C-BE32-E72D297353CC}">
                <c16:uniqueId val="{00000007-679B-4BCC-8147-A7673B89E5A9}"/>
              </c:ext>
            </c:extLst>
          </c:dPt>
          <c:dPt>
            <c:idx val="7"/>
            <c:bubble3D val="0"/>
            <c:spPr>
              <a:solidFill>
                <a:srgbClr val="ED7D31"/>
              </a:solidFill>
              <a:ln>
                <a:solidFill>
                  <a:srgbClr val="FFFFFF"/>
                </a:solidFill>
              </a:ln>
            </c:spPr>
            <c:extLst>
              <c:ext xmlns:c16="http://schemas.microsoft.com/office/drawing/2014/chart" uri="{C3380CC4-5D6E-409C-BE32-E72D297353CC}">
                <c16:uniqueId val="{00000008-679B-4BCC-8147-A7673B89E5A9}"/>
              </c:ext>
            </c:extLst>
          </c:dPt>
          <c:dLbls>
            <c:numFmt formatCode="#,##0,&quot;K&quot;" sourceLinked="0"/>
            <c:spPr>
              <a:noFill/>
              <a:ln>
                <a:noFill/>
              </a:ln>
              <a:effectLst/>
            </c:spPr>
            <c:txPr>
              <a:bodyPr wrap="square" lIns="38100" tIns="19050" rIns="38100" bIns="19050" anchor="ctr">
                <a:spAutoFit/>
              </a:bodyPr>
              <a:lstStyle/>
              <a:p>
                <a:pPr>
                  <a:defRPr sz="800" b="1" baseline="0">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679B-4BCC-8147-A7673B89E5A9}"/>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616332021401725"/>
          <c:y val="0.15003554994630272"/>
          <c:w val="0.46383664364295679"/>
          <c:h val="0.72177757570531564"/>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076C-4CEC-9E6B-8D602A1CB877}"/>
            </c:ext>
          </c:extLst>
        </c:ser>
        <c:dLbls>
          <c:showLegendKey val="0"/>
          <c:showVal val="0"/>
          <c:showCatName val="0"/>
          <c:showSerName val="0"/>
          <c:showPercent val="0"/>
          <c:showBubbleSize val="0"/>
        </c:dLbls>
        <c:marker val="1"/>
        <c:smooth val="0"/>
        <c:axId val="948219791"/>
        <c:axId val="948220271"/>
      </c:lineChart>
      <c:catAx>
        <c:axId val="948219791"/>
        <c:scaling>
          <c:orientation val="minMax"/>
        </c:scaling>
        <c:delete val="0"/>
        <c:axPos val="b"/>
        <c:numFmt formatCode="General" sourceLinked="1"/>
        <c:majorTickMark val="out"/>
        <c:minorTickMark val="none"/>
        <c:tickLblPos val="nextTo"/>
        <c:spPr>
          <a:ln>
            <a:solidFill>
              <a:srgbClr val="D2D2D2"/>
            </a:solidFill>
          </a:ln>
        </c:spPr>
        <c:crossAx val="948220271"/>
        <c:crosses val="autoZero"/>
        <c:auto val="1"/>
        <c:lblAlgn val="ctr"/>
        <c:lblOffset val="100"/>
        <c:noMultiLvlLbl val="0"/>
      </c:catAx>
      <c:valAx>
        <c:axId val="94822027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48219791"/>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2745-4A37-A44E-0E07E9C456A4}"/>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2745-4A37-A44E-0E07E9C456A4}"/>
            </c:ext>
          </c:extLst>
        </c:ser>
        <c:dLbls>
          <c:showLegendKey val="0"/>
          <c:showVal val="0"/>
          <c:showCatName val="0"/>
          <c:showSerName val="0"/>
          <c:showPercent val="0"/>
          <c:showBubbleSize val="0"/>
        </c:dLbls>
        <c:gapWidth val="150"/>
        <c:axId val="948221711"/>
        <c:axId val="948218351"/>
      </c:barChart>
      <c:catAx>
        <c:axId val="948221711"/>
        <c:scaling>
          <c:orientation val="minMax"/>
        </c:scaling>
        <c:delete val="0"/>
        <c:axPos val="b"/>
        <c:numFmt formatCode="General" sourceLinked="1"/>
        <c:majorTickMark val="out"/>
        <c:minorTickMark val="none"/>
        <c:tickLblPos val="nextTo"/>
        <c:spPr>
          <a:ln>
            <a:solidFill>
              <a:srgbClr val="D2D2D2"/>
            </a:solidFill>
          </a:ln>
        </c:spPr>
        <c:crossAx val="948218351"/>
        <c:crosses val="autoZero"/>
        <c:auto val="1"/>
        <c:lblAlgn val="ctr"/>
        <c:lblOffset val="100"/>
        <c:noMultiLvlLbl val="0"/>
      </c:catAx>
      <c:valAx>
        <c:axId val="94821835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48221711"/>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6E1C-48D9-B7F5-0295A6694C69}"/>
            </c:ext>
          </c:extLst>
        </c:ser>
        <c:dLbls>
          <c:showLegendKey val="0"/>
          <c:showVal val="0"/>
          <c:showCatName val="0"/>
          <c:showSerName val="0"/>
          <c:showPercent val="0"/>
          <c:showBubbleSize val="0"/>
        </c:dLbls>
        <c:gapWidth val="70"/>
        <c:axId val="948164591"/>
        <c:axId val="948180911"/>
      </c:barChart>
      <c:catAx>
        <c:axId val="948164591"/>
        <c:scaling>
          <c:orientation val="minMax"/>
        </c:scaling>
        <c:delete val="0"/>
        <c:axPos val="l"/>
        <c:numFmt formatCode="General" sourceLinked="1"/>
        <c:majorTickMark val="out"/>
        <c:minorTickMark val="none"/>
        <c:tickLblPos val="nextTo"/>
        <c:spPr>
          <a:ln>
            <a:solidFill>
              <a:srgbClr val="D2D2D2"/>
            </a:solidFill>
          </a:ln>
        </c:spPr>
        <c:crossAx val="948180911"/>
        <c:crosses val="autoZero"/>
        <c:auto val="1"/>
        <c:lblAlgn val="ctr"/>
        <c:lblOffset val="100"/>
        <c:noMultiLvlLbl val="0"/>
      </c:catAx>
      <c:valAx>
        <c:axId val="948180911"/>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48164591"/>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36E8B4E2-FC39-9283-DCBF-BB29864E858C}"/>
            </a:ext>
          </a:extLst>
        </xdr:cNvPr>
        <xdr:cNvSpPr/>
      </xdr:nvSpPr>
      <xdr:spPr>
        <a:xfrm>
          <a:off x="0" y="0"/>
          <a:ext cx="16573500" cy="83820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1</xdr:col>
      <xdr:colOff>133350</xdr:colOff>
      <xdr:row>2</xdr:row>
      <xdr:rowOff>127000</xdr:rowOff>
    </xdr:to>
    <xdr:sp macro="" textlink="">
      <xdr:nvSpPr>
        <xdr:cNvPr id="3" name="Oval 2">
          <a:extLst>
            <a:ext uri="{FF2B5EF4-FFF2-40B4-BE49-F238E27FC236}">
              <a16:creationId xmlns:a16="http://schemas.microsoft.com/office/drawing/2014/main" id="{C8F23B2B-D92C-7B0A-DBE3-8A70CDEF3B9F}"/>
            </a:ext>
          </a:extLst>
        </xdr:cNvPr>
        <xdr:cNvSpPr/>
      </xdr:nvSpPr>
      <xdr:spPr>
        <a:xfrm>
          <a:off x="152400" y="15240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234950</xdr:colOff>
      <xdr:row>0</xdr:row>
      <xdr:rowOff>0</xdr:rowOff>
    </xdr:from>
    <xdr:to>
      <xdr:col>25</xdr:col>
      <xdr:colOff>120650</xdr:colOff>
      <xdr:row>3</xdr:row>
      <xdr:rowOff>0</xdr:rowOff>
    </xdr:to>
    <xdr:sp macro="" textlink="">
      <xdr:nvSpPr>
        <xdr:cNvPr id="4" name="TextBox 3">
          <a:extLst>
            <a:ext uri="{FF2B5EF4-FFF2-40B4-BE49-F238E27FC236}">
              <a16:creationId xmlns:a16="http://schemas.microsoft.com/office/drawing/2014/main" id="{9580810A-24B6-3C7C-8D74-AE78A8A0D8F9}"/>
            </a:ext>
          </a:extLst>
        </xdr:cNvPr>
        <xdr:cNvSpPr txBox="1"/>
      </xdr:nvSpPr>
      <xdr:spPr>
        <a:xfrm>
          <a:off x="787400" y="0"/>
          <a:ext cx="13144500" cy="838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222250</xdr:colOff>
      <xdr:row>0</xdr:row>
      <xdr:rowOff>50800</xdr:rowOff>
    </xdr:from>
    <xdr:to>
      <xdr:col>29</xdr:col>
      <xdr:colOff>425450</xdr:colOff>
      <xdr:row>2</xdr:row>
      <xdr:rowOff>228600</xdr:rowOff>
    </xdr:to>
    <xdr:sp macro="" textlink="">
      <xdr:nvSpPr>
        <xdr:cNvPr id="5" name="TextBox 4">
          <a:extLst>
            <a:ext uri="{FF2B5EF4-FFF2-40B4-BE49-F238E27FC236}">
              <a16:creationId xmlns:a16="http://schemas.microsoft.com/office/drawing/2014/main" id="{FACEFBB5-499F-45DE-9968-E9241B1D2947}"/>
            </a:ext>
          </a:extLst>
        </xdr:cNvPr>
        <xdr:cNvSpPr txBox="1"/>
      </xdr:nvSpPr>
      <xdr:spPr>
        <a:xfrm>
          <a:off x="14033500" y="50800"/>
          <a:ext cx="24130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Jun 14,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50D7F43F-4531-4C73-12E1-B46F619F74D5}"/>
            </a:ext>
          </a:extLst>
        </xdr:cNvPr>
        <xdr:cNvSpPr/>
      </xdr:nvSpPr>
      <xdr:spPr>
        <a:xfrm>
          <a:off x="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57150</xdr:colOff>
      <xdr:row>7</xdr:row>
      <xdr:rowOff>0</xdr:rowOff>
    </xdr:to>
    <xdr:sp macro="" textlink="">
      <xdr:nvSpPr>
        <xdr:cNvPr id="7" name="Oval 6">
          <a:extLst>
            <a:ext uri="{FF2B5EF4-FFF2-40B4-BE49-F238E27FC236}">
              <a16:creationId xmlns:a16="http://schemas.microsoft.com/office/drawing/2014/main" id="{3CB82005-09C0-474D-96D1-C7147E94C25A}"/>
            </a:ext>
          </a:extLst>
        </xdr:cNvPr>
        <xdr:cNvSpPr/>
      </xdr:nvSpPr>
      <xdr:spPr>
        <a:xfrm>
          <a:off x="127000" y="127000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133350</xdr:colOff>
      <xdr:row>4</xdr:row>
      <xdr:rowOff>101600</xdr:rowOff>
    </xdr:from>
    <xdr:to>
      <xdr:col>4</xdr:col>
      <xdr:colOff>501650</xdr:colOff>
      <xdr:row>5</xdr:row>
      <xdr:rowOff>152400</xdr:rowOff>
    </xdr:to>
    <xdr:sp macro="" textlink="">
      <xdr:nvSpPr>
        <xdr:cNvPr id="8" name="TextBox 7">
          <a:extLst>
            <a:ext uri="{FF2B5EF4-FFF2-40B4-BE49-F238E27FC236}">
              <a16:creationId xmlns:a16="http://schemas.microsoft.com/office/drawing/2014/main" id="{FFB1B4F1-90CF-04CD-1142-388B0E7EA262}"/>
            </a:ext>
          </a:extLst>
        </xdr:cNvPr>
        <xdr:cNvSpPr txBox="1"/>
      </xdr:nvSpPr>
      <xdr:spPr>
        <a:xfrm>
          <a:off x="685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133350</xdr:colOff>
      <xdr:row>5</xdr:row>
      <xdr:rowOff>139700</xdr:rowOff>
    </xdr:from>
    <xdr:to>
      <xdr:col>4</xdr:col>
      <xdr:colOff>501650</xdr:colOff>
      <xdr:row>7</xdr:row>
      <xdr:rowOff>114300</xdr:rowOff>
    </xdr:to>
    <xdr:sp macro="" textlink="Dashboard!$AF$2">
      <xdr:nvSpPr>
        <xdr:cNvPr id="9" name="TextBox 8">
          <a:extLst>
            <a:ext uri="{FF2B5EF4-FFF2-40B4-BE49-F238E27FC236}">
              <a16:creationId xmlns:a16="http://schemas.microsoft.com/office/drawing/2014/main" id="{9F7633C8-F50D-CAB2-035D-A18EA4BAC2D0}"/>
            </a:ext>
          </a:extLst>
        </xdr:cNvPr>
        <xdr:cNvSpPr txBox="1"/>
      </xdr:nvSpPr>
      <xdr:spPr>
        <a:xfrm>
          <a:off x="685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968B4E7-1DF7-4E8D-A85F-7413270AFF9C}" type="TxLink">
            <a:rPr lang="en-US" sz="2800" b="1" i="0" u="none" strike="noStrike">
              <a:solidFill>
                <a:srgbClr val="054A19"/>
              </a:solidFill>
              <a:latin typeface="Aptos"/>
            </a:rPr>
            <a:pPr algn="ctr"/>
            <a:t>18,405K</a:t>
          </a:fld>
          <a:endParaRPr lang="en-US" sz="2800" b="1">
            <a:solidFill>
              <a:srgbClr val="054A19"/>
            </a:solidFill>
          </a:endParaRPr>
        </a:p>
      </xdr:txBody>
    </xdr:sp>
    <xdr:clientData/>
  </xdr:twoCellAnchor>
  <xdr:twoCellAnchor>
    <xdr:from>
      <xdr:col>1</xdr:col>
      <xdr:colOff>133350</xdr:colOff>
      <xdr:row>7</xdr:row>
      <xdr:rowOff>50800</xdr:rowOff>
    </xdr:from>
    <xdr:to>
      <xdr:col>4</xdr:col>
      <xdr:colOff>501650</xdr:colOff>
      <xdr:row>7</xdr:row>
      <xdr:rowOff>215900</xdr:rowOff>
    </xdr:to>
    <xdr:sp macro="" textlink="">
      <xdr:nvSpPr>
        <xdr:cNvPr id="10" name="TextBox 9">
          <a:extLst>
            <a:ext uri="{FF2B5EF4-FFF2-40B4-BE49-F238E27FC236}">
              <a16:creationId xmlns:a16="http://schemas.microsoft.com/office/drawing/2014/main" id="{049BEF7A-DCC4-74BD-B34D-7842F0EA9B47}"/>
            </a:ext>
          </a:extLst>
        </xdr:cNvPr>
        <xdr:cNvSpPr txBox="1"/>
      </xdr:nvSpPr>
      <xdr:spPr>
        <a:xfrm>
          <a:off x="685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4DC91EC5-E13A-4D58-7090-86957B040BE7}"/>
            </a:ext>
          </a:extLst>
        </xdr:cNvPr>
        <xdr:cNvSpPr/>
      </xdr:nvSpPr>
      <xdr:spPr>
        <a:xfrm>
          <a:off x="2762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57150</xdr:colOff>
      <xdr:row>7</xdr:row>
      <xdr:rowOff>0</xdr:rowOff>
    </xdr:to>
    <xdr:sp macro="" textlink="">
      <xdr:nvSpPr>
        <xdr:cNvPr id="12" name="Oval 11">
          <a:extLst>
            <a:ext uri="{FF2B5EF4-FFF2-40B4-BE49-F238E27FC236}">
              <a16:creationId xmlns:a16="http://schemas.microsoft.com/office/drawing/2014/main" id="{24212888-31B9-F949-923C-EC38FF9D1B31}"/>
            </a:ext>
          </a:extLst>
        </xdr:cNvPr>
        <xdr:cNvSpPr/>
      </xdr:nvSpPr>
      <xdr:spPr>
        <a:xfrm>
          <a:off x="2889250" y="127000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133350</xdr:colOff>
      <xdr:row>4</xdr:row>
      <xdr:rowOff>101600</xdr:rowOff>
    </xdr:from>
    <xdr:to>
      <xdr:col>9</xdr:col>
      <xdr:colOff>501650</xdr:colOff>
      <xdr:row>5</xdr:row>
      <xdr:rowOff>152400</xdr:rowOff>
    </xdr:to>
    <xdr:sp macro="" textlink="">
      <xdr:nvSpPr>
        <xdr:cNvPr id="13" name="TextBox 12">
          <a:extLst>
            <a:ext uri="{FF2B5EF4-FFF2-40B4-BE49-F238E27FC236}">
              <a16:creationId xmlns:a16="http://schemas.microsoft.com/office/drawing/2014/main" id="{AC17D7D7-EB25-D0E7-D54C-4E7591399026}"/>
            </a:ext>
          </a:extLst>
        </xdr:cNvPr>
        <xdr:cNvSpPr txBox="1"/>
      </xdr:nvSpPr>
      <xdr:spPr>
        <a:xfrm>
          <a:off x="3448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133350</xdr:colOff>
      <xdr:row>5</xdr:row>
      <xdr:rowOff>139700</xdr:rowOff>
    </xdr:from>
    <xdr:to>
      <xdr:col>9</xdr:col>
      <xdr:colOff>501650</xdr:colOff>
      <xdr:row>7</xdr:row>
      <xdr:rowOff>114300</xdr:rowOff>
    </xdr:to>
    <xdr:sp macro="" textlink="Dashboard!$AF$3">
      <xdr:nvSpPr>
        <xdr:cNvPr id="14" name="TextBox 13">
          <a:extLst>
            <a:ext uri="{FF2B5EF4-FFF2-40B4-BE49-F238E27FC236}">
              <a16:creationId xmlns:a16="http://schemas.microsoft.com/office/drawing/2014/main" id="{80DF106E-257F-DD39-7FE9-5F01A96F0BB2}"/>
            </a:ext>
          </a:extLst>
        </xdr:cNvPr>
        <xdr:cNvSpPr txBox="1"/>
      </xdr:nvSpPr>
      <xdr:spPr>
        <a:xfrm>
          <a:off x="3448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59467F3-6ECC-4B43-A184-7FFEA8055ED6}" type="TxLink">
            <a:rPr lang="en-US" sz="2800" b="1" i="0" u="none" strike="noStrike">
              <a:solidFill>
                <a:srgbClr val="054A19"/>
              </a:solidFill>
              <a:latin typeface="Aptos"/>
            </a:rPr>
            <a:pPr algn="ctr"/>
            <a:t>22,954K</a:t>
          </a:fld>
          <a:endParaRPr lang="en-US" sz="2800" b="1">
            <a:solidFill>
              <a:srgbClr val="054A19"/>
            </a:solidFill>
          </a:endParaRPr>
        </a:p>
      </xdr:txBody>
    </xdr:sp>
    <xdr:clientData/>
  </xdr:twoCellAnchor>
  <xdr:twoCellAnchor>
    <xdr:from>
      <xdr:col>6</xdr:col>
      <xdr:colOff>133350</xdr:colOff>
      <xdr:row>7</xdr:row>
      <xdr:rowOff>50800</xdr:rowOff>
    </xdr:from>
    <xdr:to>
      <xdr:col>9</xdr:col>
      <xdr:colOff>501650</xdr:colOff>
      <xdr:row>7</xdr:row>
      <xdr:rowOff>215900</xdr:rowOff>
    </xdr:to>
    <xdr:sp macro="" textlink="">
      <xdr:nvSpPr>
        <xdr:cNvPr id="15" name="TextBox 14">
          <a:extLst>
            <a:ext uri="{FF2B5EF4-FFF2-40B4-BE49-F238E27FC236}">
              <a16:creationId xmlns:a16="http://schemas.microsoft.com/office/drawing/2014/main" id="{63098624-F7F1-0944-8B54-DF873785A724}"/>
            </a:ext>
          </a:extLst>
        </xdr:cNvPr>
        <xdr:cNvSpPr txBox="1"/>
      </xdr:nvSpPr>
      <xdr:spPr>
        <a:xfrm>
          <a:off x="3448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D99F180F-013A-2F8A-32CA-03771E75E606}"/>
            </a:ext>
          </a:extLst>
        </xdr:cNvPr>
        <xdr:cNvSpPr/>
      </xdr:nvSpPr>
      <xdr:spPr>
        <a:xfrm>
          <a:off x="55245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57150</xdr:colOff>
      <xdr:row>7</xdr:row>
      <xdr:rowOff>0</xdr:rowOff>
    </xdr:to>
    <xdr:sp macro="" textlink="">
      <xdr:nvSpPr>
        <xdr:cNvPr id="17" name="Oval 16">
          <a:extLst>
            <a:ext uri="{FF2B5EF4-FFF2-40B4-BE49-F238E27FC236}">
              <a16:creationId xmlns:a16="http://schemas.microsoft.com/office/drawing/2014/main" id="{D34C1EE0-52DB-AA24-715C-E627E39CE149}"/>
            </a:ext>
          </a:extLst>
        </xdr:cNvPr>
        <xdr:cNvSpPr/>
      </xdr:nvSpPr>
      <xdr:spPr>
        <a:xfrm>
          <a:off x="5651500" y="127000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133350</xdr:colOff>
      <xdr:row>4</xdr:row>
      <xdr:rowOff>101600</xdr:rowOff>
    </xdr:from>
    <xdr:to>
      <xdr:col>14</xdr:col>
      <xdr:colOff>501650</xdr:colOff>
      <xdr:row>5</xdr:row>
      <xdr:rowOff>152400</xdr:rowOff>
    </xdr:to>
    <xdr:sp macro="" textlink="">
      <xdr:nvSpPr>
        <xdr:cNvPr id="18" name="TextBox 17">
          <a:extLst>
            <a:ext uri="{FF2B5EF4-FFF2-40B4-BE49-F238E27FC236}">
              <a16:creationId xmlns:a16="http://schemas.microsoft.com/office/drawing/2014/main" id="{B0643DE7-AA1A-6C0D-D9FD-EF74AAB76CFC}"/>
            </a:ext>
          </a:extLst>
        </xdr:cNvPr>
        <xdr:cNvSpPr txBox="1"/>
      </xdr:nvSpPr>
      <xdr:spPr>
        <a:xfrm>
          <a:off x="62103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133350</xdr:colOff>
      <xdr:row>5</xdr:row>
      <xdr:rowOff>139700</xdr:rowOff>
    </xdr:from>
    <xdr:to>
      <xdr:col>14</xdr:col>
      <xdr:colOff>501650</xdr:colOff>
      <xdr:row>7</xdr:row>
      <xdr:rowOff>114300</xdr:rowOff>
    </xdr:to>
    <xdr:sp macro="" textlink="Dashboard!$AF$4">
      <xdr:nvSpPr>
        <xdr:cNvPr id="19" name="TextBox 18">
          <a:extLst>
            <a:ext uri="{FF2B5EF4-FFF2-40B4-BE49-F238E27FC236}">
              <a16:creationId xmlns:a16="http://schemas.microsoft.com/office/drawing/2014/main" id="{15EE73F8-7052-4EC9-D649-816A73C1625A}"/>
            </a:ext>
          </a:extLst>
        </xdr:cNvPr>
        <xdr:cNvSpPr txBox="1"/>
      </xdr:nvSpPr>
      <xdr:spPr>
        <a:xfrm>
          <a:off x="62103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D2D8ACB-9F1B-4ED9-9D9E-2398EB611AD3}" type="TxLink">
            <a:rPr lang="en-US" sz="2800" b="1" i="0" u="none" strike="noStrike">
              <a:solidFill>
                <a:srgbClr val="054A19"/>
              </a:solidFill>
              <a:latin typeface="Aptos"/>
            </a:rPr>
            <a:pPr algn="ctr"/>
            <a:t>4,549K</a:t>
          </a:fld>
          <a:endParaRPr lang="en-US" sz="2800" b="1">
            <a:solidFill>
              <a:srgbClr val="054A19"/>
            </a:solidFill>
          </a:endParaRPr>
        </a:p>
      </xdr:txBody>
    </xdr:sp>
    <xdr:clientData/>
  </xdr:twoCellAnchor>
  <xdr:twoCellAnchor>
    <xdr:from>
      <xdr:col>11</xdr:col>
      <xdr:colOff>133350</xdr:colOff>
      <xdr:row>7</xdr:row>
      <xdr:rowOff>50800</xdr:rowOff>
    </xdr:from>
    <xdr:to>
      <xdr:col>14</xdr:col>
      <xdr:colOff>501650</xdr:colOff>
      <xdr:row>7</xdr:row>
      <xdr:rowOff>215900</xdr:rowOff>
    </xdr:to>
    <xdr:sp macro="" textlink="">
      <xdr:nvSpPr>
        <xdr:cNvPr id="20" name="TextBox 19">
          <a:extLst>
            <a:ext uri="{FF2B5EF4-FFF2-40B4-BE49-F238E27FC236}">
              <a16:creationId xmlns:a16="http://schemas.microsoft.com/office/drawing/2014/main" id="{C778160E-8DBE-E073-97D1-BEBB28D3C28F}"/>
            </a:ext>
          </a:extLst>
        </xdr:cNvPr>
        <xdr:cNvSpPr txBox="1"/>
      </xdr:nvSpPr>
      <xdr:spPr>
        <a:xfrm>
          <a:off x="62103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667E3C7C-2371-C210-1660-55074D5E03C7}"/>
            </a:ext>
          </a:extLst>
        </xdr:cNvPr>
        <xdr:cNvSpPr/>
      </xdr:nvSpPr>
      <xdr:spPr>
        <a:xfrm>
          <a:off x="82867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57150</xdr:colOff>
      <xdr:row>7</xdr:row>
      <xdr:rowOff>0</xdr:rowOff>
    </xdr:to>
    <xdr:sp macro="" textlink="">
      <xdr:nvSpPr>
        <xdr:cNvPr id="22" name="Oval 21">
          <a:extLst>
            <a:ext uri="{FF2B5EF4-FFF2-40B4-BE49-F238E27FC236}">
              <a16:creationId xmlns:a16="http://schemas.microsoft.com/office/drawing/2014/main" id="{83B47B10-E225-4A9E-7692-743CCA8963AB}"/>
            </a:ext>
          </a:extLst>
        </xdr:cNvPr>
        <xdr:cNvSpPr/>
      </xdr:nvSpPr>
      <xdr:spPr>
        <a:xfrm>
          <a:off x="8413750" y="127000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133350</xdr:colOff>
      <xdr:row>4</xdr:row>
      <xdr:rowOff>101600</xdr:rowOff>
    </xdr:from>
    <xdr:to>
      <xdr:col>19</xdr:col>
      <xdr:colOff>501650</xdr:colOff>
      <xdr:row>5</xdr:row>
      <xdr:rowOff>152400</xdr:rowOff>
    </xdr:to>
    <xdr:sp macro="" textlink="">
      <xdr:nvSpPr>
        <xdr:cNvPr id="23" name="TextBox 22">
          <a:extLst>
            <a:ext uri="{FF2B5EF4-FFF2-40B4-BE49-F238E27FC236}">
              <a16:creationId xmlns:a16="http://schemas.microsoft.com/office/drawing/2014/main" id="{015BAEF7-9DBF-EB97-1705-935689359A91}"/>
            </a:ext>
          </a:extLst>
        </xdr:cNvPr>
        <xdr:cNvSpPr txBox="1"/>
      </xdr:nvSpPr>
      <xdr:spPr>
        <a:xfrm>
          <a:off x="89725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133350</xdr:colOff>
      <xdr:row>5</xdr:row>
      <xdr:rowOff>139700</xdr:rowOff>
    </xdr:from>
    <xdr:to>
      <xdr:col>19</xdr:col>
      <xdr:colOff>501650</xdr:colOff>
      <xdr:row>7</xdr:row>
      <xdr:rowOff>114300</xdr:rowOff>
    </xdr:to>
    <xdr:sp macro="" textlink="Dashboard!$AF$5">
      <xdr:nvSpPr>
        <xdr:cNvPr id="24" name="TextBox 23">
          <a:extLst>
            <a:ext uri="{FF2B5EF4-FFF2-40B4-BE49-F238E27FC236}">
              <a16:creationId xmlns:a16="http://schemas.microsoft.com/office/drawing/2014/main" id="{9714D2F7-301C-CD8B-BF3F-DC8E9279B7CE}"/>
            </a:ext>
          </a:extLst>
        </xdr:cNvPr>
        <xdr:cNvSpPr txBox="1"/>
      </xdr:nvSpPr>
      <xdr:spPr>
        <a:xfrm>
          <a:off x="89725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056CBFB-271A-4B29-B242-EE37B3A19A8B}" type="TxLink">
            <a:rPr lang="en-US" sz="2800" b="1" i="0" u="none" strike="noStrike">
              <a:solidFill>
                <a:srgbClr val="054A19"/>
              </a:solidFill>
              <a:latin typeface="Aptos"/>
            </a:rPr>
            <a:pPr algn="ctr"/>
            <a:t>415</a:t>
          </a:fld>
          <a:endParaRPr lang="en-US" sz="2800" b="1">
            <a:solidFill>
              <a:srgbClr val="054A19"/>
            </a:solidFill>
          </a:endParaRPr>
        </a:p>
      </xdr:txBody>
    </xdr:sp>
    <xdr:clientData/>
  </xdr:twoCellAnchor>
  <xdr:twoCellAnchor>
    <xdr:from>
      <xdr:col>16</xdr:col>
      <xdr:colOff>133350</xdr:colOff>
      <xdr:row>7</xdr:row>
      <xdr:rowOff>50800</xdr:rowOff>
    </xdr:from>
    <xdr:to>
      <xdr:col>19</xdr:col>
      <xdr:colOff>501650</xdr:colOff>
      <xdr:row>7</xdr:row>
      <xdr:rowOff>215900</xdr:rowOff>
    </xdr:to>
    <xdr:sp macro="" textlink="">
      <xdr:nvSpPr>
        <xdr:cNvPr id="25" name="TextBox 24">
          <a:extLst>
            <a:ext uri="{FF2B5EF4-FFF2-40B4-BE49-F238E27FC236}">
              <a16:creationId xmlns:a16="http://schemas.microsoft.com/office/drawing/2014/main" id="{186CCD82-1C12-56FD-3246-214785BE813A}"/>
            </a:ext>
          </a:extLst>
        </xdr:cNvPr>
        <xdr:cNvSpPr txBox="1"/>
      </xdr:nvSpPr>
      <xdr:spPr>
        <a:xfrm>
          <a:off x="89725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DEF9DD61-A3EE-AB50-1D99-948FBCF10882}"/>
            </a:ext>
          </a:extLst>
        </xdr:cNvPr>
        <xdr:cNvSpPr/>
      </xdr:nvSpPr>
      <xdr:spPr>
        <a:xfrm>
          <a:off x="110490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57150</xdr:colOff>
      <xdr:row>7</xdr:row>
      <xdr:rowOff>0</xdr:rowOff>
    </xdr:to>
    <xdr:sp macro="" textlink="">
      <xdr:nvSpPr>
        <xdr:cNvPr id="27" name="Oval 26">
          <a:extLst>
            <a:ext uri="{FF2B5EF4-FFF2-40B4-BE49-F238E27FC236}">
              <a16:creationId xmlns:a16="http://schemas.microsoft.com/office/drawing/2014/main" id="{56F748B1-CB59-3DB3-D97F-7FF5912D4C4D}"/>
            </a:ext>
          </a:extLst>
        </xdr:cNvPr>
        <xdr:cNvSpPr/>
      </xdr:nvSpPr>
      <xdr:spPr>
        <a:xfrm>
          <a:off x="11176000" y="127000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133350</xdr:colOff>
      <xdr:row>4</xdr:row>
      <xdr:rowOff>101600</xdr:rowOff>
    </xdr:from>
    <xdr:to>
      <xdr:col>24</xdr:col>
      <xdr:colOff>501650</xdr:colOff>
      <xdr:row>5</xdr:row>
      <xdr:rowOff>152400</xdr:rowOff>
    </xdr:to>
    <xdr:sp macro="" textlink="">
      <xdr:nvSpPr>
        <xdr:cNvPr id="28" name="TextBox 27">
          <a:extLst>
            <a:ext uri="{FF2B5EF4-FFF2-40B4-BE49-F238E27FC236}">
              <a16:creationId xmlns:a16="http://schemas.microsoft.com/office/drawing/2014/main" id="{0FF898EC-6350-2387-B39F-3AE4333BCB40}"/>
            </a:ext>
          </a:extLst>
        </xdr:cNvPr>
        <xdr:cNvSpPr txBox="1"/>
      </xdr:nvSpPr>
      <xdr:spPr>
        <a:xfrm>
          <a:off x="11734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133350</xdr:colOff>
      <xdr:row>5</xdr:row>
      <xdr:rowOff>139700</xdr:rowOff>
    </xdr:from>
    <xdr:to>
      <xdr:col>24</xdr:col>
      <xdr:colOff>501650</xdr:colOff>
      <xdr:row>7</xdr:row>
      <xdr:rowOff>114300</xdr:rowOff>
    </xdr:to>
    <xdr:sp macro="" textlink="Dashboard!$AF$6">
      <xdr:nvSpPr>
        <xdr:cNvPr id="29" name="TextBox 28">
          <a:extLst>
            <a:ext uri="{FF2B5EF4-FFF2-40B4-BE49-F238E27FC236}">
              <a16:creationId xmlns:a16="http://schemas.microsoft.com/office/drawing/2014/main" id="{D4F13F08-4699-2A84-CBA3-5F032BDBAE4B}"/>
            </a:ext>
          </a:extLst>
        </xdr:cNvPr>
        <xdr:cNvSpPr txBox="1"/>
      </xdr:nvSpPr>
      <xdr:spPr>
        <a:xfrm>
          <a:off x="11734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3429C9C-418E-440A-A2A4-83C30E862895}" type="TxLink">
            <a:rPr lang="en-US" sz="2800" b="1" i="0" u="none" strike="noStrike">
              <a:solidFill>
                <a:srgbClr val="054A19"/>
              </a:solidFill>
              <a:latin typeface="Aptos"/>
            </a:rPr>
            <a:pPr algn="ctr"/>
            <a:t>81.4%</a:t>
          </a:fld>
          <a:endParaRPr lang="en-US" sz="2800" b="1">
            <a:solidFill>
              <a:srgbClr val="054A19"/>
            </a:solidFill>
          </a:endParaRPr>
        </a:p>
      </xdr:txBody>
    </xdr:sp>
    <xdr:clientData/>
  </xdr:twoCellAnchor>
  <xdr:twoCellAnchor>
    <xdr:from>
      <xdr:col>21</xdr:col>
      <xdr:colOff>133350</xdr:colOff>
      <xdr:row>7</xdr:row>
      <xdr:rowOff>50800</xdr:rowOff>
    </xdr:from>
    <xdr:to>
      <xdr:col>24</xdr:col>
      <xdr:colOff>501650</xdr:colOff>
      <xdr:row>7</xdr:row>
      <xdr:rowOff>215900</xdr:rowOff>
    </xdr:to>
    <xdr:sp macro="" textlink="">
      <xdr:nvSpPr>
        <xdr:cNvPr id="30" name="TextBox 29">
          <a:extLst>
            <a:ext uri="{FF2B5EF4-FFF2-40B4-BE49-F238E27FC236}">
              <a16:creationId xmlns:a16="http://schemas.microsoft.com/office/drawing/2014/main" id="{B77C21D2-5DC3-4EB5-D34C-CA58D9A97B27}"/>
            </a:ext>
          </a:extLst>
        </xdr:cNvPr>
        <xdr:cNvSpPr txBox="1"/>
      </xdr:nvSpPr>
      <xdr:spPr>
        <a:xfrm>
          <a:off x="11734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2A38F74E-7CE5-E98F-02DB-E18D59A54A42}"/>
            </a:ext>
          </a:extLst>
        </xdr:cNvPr>
        <xdr:cNvSpPr/>
      </xdr:nvSpPr>
      <xdr:spPr>
        <a:xfrm>
          <a:off x="13811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57150</xdr:colOff>
      <xdr:row>7</xdr:row>
      <xdr:rowOff>0</xdr:rowOff>
    </xdr:to>
    <xdr:sp macro="" textlink="">
      <xdr:nvSpPr>
        <xdr:cNvPr id="32" name="Oval 31">
          <a:extLst>
            <a:ext uri="{FF2B5EF4-FFF2-40B4-BE49-F238E27FC236}">
              <a16:creationId xmlns:a16="http://schemas.microsoft.com/office/drawing/2014/main" id="{261B3E4A-1B0B-B6A0-3BC4-B5EFE8851B5C}"/>
            </a:ext>
          </a:extLst>
        </xdr:cNvPr>
        <xdr:cNvSpPr/>
      </xdr:nvSpPr>
      <xdr:spPr>
        <a:xfrm>
          <a:off x="13938250" y="127000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133350</xdr:colOff>
      <xdr:row>4</xdr:row>
      <xdr:rowOff>101600</xdr:rowOff>
    </xdr:from>
    <xdr:to>
      <xdr:col>29</xdr:col>
      <xdr:colOff>501650</xdr:colOff>
      <xdr:row>5</xdr:row>
      <xdr:rowOff>152400</xdr:rowOff>
    </xdr:to>
    <xdr:sp macro="" textlink="">
      <xdr:nvSpPr>
        <xdr:cNvPr id="33" name="TextBox 32">
          <a:extLst>
            <a:ext uri="{FF2B5EF4-FFF2-40B4-BE49-F238E27FC236}">
              <a16:creationId xmlns:a16="http://schemas.microsoft.com/office/drawing/2014/main" id="{A1C1003D-2DD0-5121-4B0A-FA3C3548BC6F}"/>
            </a:ext>
          </a:extLst>
        </xdr:cNvPr>
        <xdr:cNvSpPr txBox="1"/>
      </xdr:nvSpPr>
      <xdr:spPr>
        <a:xfrm>
          <a:off x="14497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133350</xdr:colOff>
      <xdr:row>5</xdr:row>
      <xdr:rowOff>139700</xdr:rowOff>
    </xdr:from>
    <xdr:to>
      <xdr:col>29</xdr:col>
      <xdr:colOff>501650</xdr:colOff>
      <xdr:row>7</xdr:row>
      <xdr:rowOff>114300</xdr:rowOff>
    </xdr:to>
    <xdr:sp macro="" textlink="Dashboard!$AF$7">
      <xdr:nvSpPr>
        <xdr:cNvPr id="34" name="TextBox 33">
          <a:extLst>
            <a:ext uri="{FF2B5EF4-FFF2-40B4-BE49-F238E27FC236}">
              <a16:creationId xmlns:a16="http://schemas.microsoft.com/office/drawing/2014/main" id="{A56E5528-A5FF-9859-7CB0-2A53AC5C6C79}"/>
            </a:ext>
          </a:extLst>
        </xdr:cNvPr>
        <xdr:cNvSpPr txBox="1"/>
      </xdr:nvSpPr>
      <xdr:spPr>
        <a:xfrm>
          <a:off x="14497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1C186B6-B762-46E9-B5B5-FFF1D464D43A}" type="TxLink">
            <a:rPr lang="en-US" sz="2800" b="1" i="0" u="none" strike="noStrike">
              <a:solidFill>
                <a:srgbClr val="054A19"/>
              </a:solidFill>
              <a:latin typeface="Aptos"/>
            </a:rPr>
            <a:pPr algn="ctr"/>
            <a:t>44K</a:t>
          </a:fld>
          <a:endParaRPr lang="en-US" sz="2800" b="1">
            <a:solidFill>
              <a:srgbClr val="054A19"/>
            </a:solidFill>
          </a:endParaRPr>
        </a:p>
      </xdr:txBody>
    </xdr:sp>
    <xdr:clientData/>
  </xdr:twoCellAnchor>
  <xdr:twoCellAnchor>
    <xdr:from>
      <xdr:col>26</xdr:col>
      <xdr:colOff>133350</xdr:colOff>
      <xdr:row>7</xdr:row>
      <xdr:rowOff>50800</xdr:rowOff>
    </xdr:from>
    <xdr:to>
      <xdr:col>29</xdr:col>
      <xdr:colOff>501650</xdr:colOff>
      <xdr:row>7</xdr:row>
      <xdr:rowOff>215900</xdr:rowOff>
    </xdr:to>
    <xdr:sp macro="" textlink="">
      <xdr:nvSpPr>
        <xdr:cNvPr id="35" name="TextBox 34">
          <a:extLst>
            <a:ext uri="{FF2B5EF4-FFF2-40B4-BE49-F238E27FC236}">
              <a16:creationId xmlns:a16="http://schemas.microsoft.com/office/drawing/2014/main" id="{20357790-6B4D-7904-8CA3-AE792E46DD93}"/>
            </a:ext>
          </a:extLst>
        </xdr:cNvPr>
        <xdr:cNvSpPr txBox="1"/>
      </xdr:nvSpPr>
      <xdr:spPr>
        <a:xfrm>
          <a:off x="14497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E78ED57F-D6DF-3743-310E-73852A5E35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6917ABE5-D2E3-3D5F-8D27-FEDB13BE4D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151641</xdr:rowOff>
    </xdr:from>
    <xdr:to>
      <xdr:col>12</xdr:col>
      <xdr:colOff>0</xdr:colOff>
      <xdr:row>30</xdr:row>
      <xdr:rowOff>28432</xdr:rowOff>
    </xdr:to>
    <xdr:graphicFrame macro="">
      <xdr:nvGraphicFramePr>
        <xdr:cNvPr id="38" name="Chart 37">
          <a:extLst>
            <a:ext uri="{FF2B5EF4-FFF2-40B4-BE49-F238E27FC236}">
              <a16:creationId xmlns:a16="http://schemas.microsoft.com/office/drawing/2014/main" id="{5B057FF8-55F9-EBB4-7088-0441154CCC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9478</xdr:colOff>
      <xdr:row>18</xdr:row>
      <xdr:rowOff>142164</xdr:rowOff>
    </xdr:from>
    <xdr:to>
      <xdr:col>22</xdr:col>
      <xdr:colOff>9478</xdr:colOff>
      <xdr:row>30</xdr:row>
      <xdr:rowOff>18955</xdr:rowOff>
    </xdr:to>
    <xdr:graphicFrame macro="">
      <xdr:nvGraphicFramePr>
        <xdr:cNvPr id="39" name="Chart 38">
          <a:extLst>
            <a:ext uri="{FF2B5EF4-FFF2-40B4-BE49-F238E27FC236}">
              <a16:creationId xmlns:a16="http://schemas.microsoft.com/office/drawing/2014/main" id="{6B305771-F129-9750-ED5A-62D1D722F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9478</xdr:colOff>
      <xdr:row>18</xdr:row>
      <xdr:rowOff>151641</xdr:rowOff>
    </xdr:from>
    <xdr:to>
      <xdr:col>30</xdr:col>
      <xdr:colOff>9478</xdr:colOff>
      <xdr:row>30</xdr:row>
      <xdr:rowOff>28432</xdr:rowOff>
    </xdr:to>
    <xdr:graphicFrame macro="">
      <xdr:nvGraphicFramePr>
        <xdr:cNvPr id="40" name="Chart 39">
          <a:extLst>
            <a:ext uri="{FF2B5EF4-FFF2-40B4-BE49-F238E27FC236}">
              <a16:creationId xmlns:a16="http://schemas.microsoft.com/office/drawing/2014/main" id="{1B002BD7-3348-168A-28A7-BA4DD2BF67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533400</xdr:colOff>
      <xdr:row>9</xdr:row>
      <xdr:rowOff>5443</xdr:rowOff>
    </xdr:from>
    <xdr:to>
      <xdr:col>29</xdr:col>
      <xdr:colOff>526143</xdr:colOff>
      <xdr:row>14</xdr:row>
      <xdr:rowOff>14514</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34D185D5-065B-B22B-0563-DB9C0A4F9D2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077131" y="2194771"/>
              <a:ext cx="4390355" cy="1146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533400</xdr:colOff>
      <xdr:row>14</xdr:row>
      <xdr:rowOff>14514</xdr:rowOff>
    </xdr:from>
    <xdr:to>
      <xdr:col>29</xdr:col>
      <xdr:colOff>526143</xdr:colOff>
      <xdr:row>18</xdr:row>
      <xdr:rowOff>21771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A31D98FD-931B-FCC8-B466-1DEDE08D1F9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077131" y="3341156"/>
              <a:ext cx="4390355" cy="9171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xtall" refreshedDate="46187.463401273148" createdVersion="8" refreshedVersion="8" minRefreshableVersion="3" recordCount="415" xr:uid="{E1C29BCC-2817-476B-B147-C2ABB91FF089}">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7411457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C6CAE2-EB9F-4B19-8E77-F18E49F2710F}" name="PT_KPI"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1:G2" firstHeaderRow="0" firstDataRow="1" firstDataCol="0"/>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dataField="1"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7">
      <pivotArea outline="0" collapsedLevelsAreSubtotals="1" fieldPosition="0"/>
    </format>
    <format dxfId="6">
      <pivotArea outline="0" fieldPosition="0">
        <references count="1">
          <reference field="4294967294" count="1" selected="0">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BDD89B-80F4-4913-BB9D-1216B38CB9BB}"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5:H18"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19">
      <pivotArea type="all" dataOnly="0" outline="0" fieldPosition="0"/>
    </format>
    <format dxfId="18">
      <pivotArea outline="0" collapsedLevelsAreSubtotals="1" fieldPosition="0"/>
    </format>
    <format dxfId="17">
      <pivotArea field="12" type="button" dataOnly="0" labelOnly="1" outline="0" axis="axisRow" fieldPosition="0"/>
    </format>
    <format dxfId="16">
      <pivotArea dataOnly="0" labelOnly="1" outline="0" fieldPosition="0">
        <references count="1">
          <reference field="12" count="0"/>
        </references>
      </pivotArea>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12" type="button" dataOnly="0" labelOnly="1" outline="0" axis="axisRow" fieldPosition="0"/>
    </format>
    <format dxfId="10">
      <pivotArea dataOnly="0" labelOnly="1" outline="0" fieldPosition="0">
        <references count="1">
          <reference field="12" count="0"/>
        </references>
      </pivotArea>
    </format>
    <format dxfId="9">
      <pivotArea dataOnly="0" labelOnly="1" grandRow="1" outline="0"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14C764-7734-42FC-8B0E-D4832793B524}"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B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31">
      <pivotArea type="all" dataOnly="0" outline="0" fieldPosition="0"/>
    </format>
    <format dxfId="30">
      <pivotArea outline="0" collapsedLevelsAreSubtotals="1" fieldPosition="0"/>
    </format>
    <format dxfId="29">
      <pivotArea field="3" type="button" dataOnly="0" labelOnly="1" outline="0" axis="axisRow" fieldPosition="0"/>
    </format>
    <format dxfId="28">
      <pivotArea dataOnly="0" labelOnly="1" outline="0" fieldPosition="0">
        <references count="1">
          <reference field="3" count="0"/>
        </references>
      </pivotArea>
    </format>
    <format dxfId="27">
      <pivotArea dataOnly="0" labelOnly="1" grandRow="1" outline="0" fieldPosition="0"/>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field="3" type="button" dataOnly="0" labelOnly="1" outline="0" axis="axisRow" fieldPosition="0"/>
    </format>
    <format dxfId="22">
      <pivotArea dataOnly="0" labelOnly="1" outline="0" fieldPosition="0">
        <references count="1">
          <reference field="3" count="0"/>
        </references>
      </pivotArea>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3CC529-D452-47CC-A556-16350DA3654D}"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C4"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3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EE2C02-E3BE-4126-B1D0-76FCA5F37789}"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19:F26"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44">
      <pivotArea type="all" dataOnly="0" outline="0" fieldPosition="0"/>
    </format>
    <format dxfId="43">
      <pivotArea outline="0" collapsedLevelsAreSubtotals="1" fieldPosition="0"/>
    </format>
    <format dxfId="42">
      <pivotArea field="2" type="button" dataOnly="0" labelOnly="1" outline="0" axis="axisRow" fieldPosition="0"/>
    </format>
    <format dxfId="41">
      <pivotArea dataOnly="0" labelOnly="1" outline="0" fieldPosition="0">
        <references count="1">
          <reference field="2" count="0"/>
        </references>
      </pivotArea>
    </format>
    <format dxfId="40">
      <pivotArea dataOnly="0" labelOnly="1" grandRow="1" outline="0" fieldPosition="0"/>
    </format>
    <format dxfId="39">
      <pivotArea dataOnly="0" labelOnly="1" outline="0" fieldPosition="0">
        <references count="1">
          <reference field="4294967294" count="2">
            <x v="0"/>
            <x v="1"/>
          </reference>
        </references>
      </pivotArea>
    </format>
    <format dxfId="38">
      <pivotArea type="all" dataOnly="0" outline="0" fieldPosition="0"/>
    </format>
    <format dxfId="37">
      <pivotArea outline="0" collapsedLevelsAreSubtotals="1" fieldPosition="0"/>
    </format>
    <format dxfId="36">
      <pivotArea field="2" type="button" dataOnly="0" labelOnly="1" outline="0" axis="axisRow" fieldPosition="0"/>
    </format>
    <format dxfId="35">
      <pivotArea dataOnly="0" labelOnly="1" outline="0" fieldPosition="0">
        <references count="1">
          <reference field="2" count="0"/>
        </references>
      </pivotArea>
    </format>
    <format dxfId="34">
      <pivotArea dataOnly="0" labelOnly="1" grandRow="1" outline="0" fieldPosition="0"/>
    </format>
    <format dxfId="3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20424B-3147-43E6-AA6B-645A41087C3C}"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9:B24"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56">
      <pivotArea type="all" dataOnly="0" outline="0" fieldPosition="0"/>
    </format>
    <format dxfId="55">
      <pivotArea outline="0" collapsedLevelsAreSubtotals="1" fieldPosition="0"/>
    </format>
    <format dxfId="54">
      <pivotArea field="6" type="button" dataOnly="0" labelOnly="1" outline="0" axis="axisRow" fieldPosition="0"/>
    </format>
    <format dxfId="53">
      <pivotArea dataOnly="0" labelOnly="1" outline="0" fieldPosition="0">
        <references count="1">
          <reference field="6" count="0"/>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6" type="button" dataOnly="0" labelOnly="1" outline="0" axis="axisRow" fieldPosition="0"/>
    </format>
    <format dxfId="47">
      <pivotArea dataOnly="0" labelOnly="1" outline="0" fieldPosition="0">
        <references count="1">
          <reference field="6" count="0"/>
        </references>
      </pivotArea>
    </format>
    <format dxfId="46">
      <pivotArea dataOnly="0" labelOnly="1" grandRow="1" outline="0" fieldPosition="0"/>
    </format>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5FF93C-2ABE-4621-A823-6E12946A4C7A}"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7:E14"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2" type="button" dataOnly="0" labelOnly="1" outline="0" axis="axisRow" fieldPosition="0"/>
    </format>
    <format dxfId="65">
      <pivotArea dataOnly="0" labelOnly="1" outline="0" fieldPosition="0">
        <references count="1">
          <reference field="2"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2" type="button" dataOnly="0" labelOnly="1" outline="0" axis="axisRow" fieldPosition="0"/>
    </format>
    <format dxfId="59">
      <pivotArea dataOnly="0" labelOnly="1" outline="0" fieldPosition="0">
        <references count="1">
          <reference field="2"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B13F6AE-786A-4931-94DD-56B054B015BB}"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741145774">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07DFF3F-D3BB-41FE-89C3-A71B1BBF4B58}"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741145774">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43D97BE-6078-4242-9573-1AB153CCD122}" cache="Slicer_Month" caption="Month" columnCount="4" style="SlicerStyleLight6" rowHeight="251883"/>
  <slicer name="Department" xr10:uid="{6B3D12F2-BC9A-444E-A3FE-D218537BDDEE}" cache="Slicer_Department" caption="Department" columnCount="6" style="SlicerStyleLight6"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359955-5C84-473C-85B7-19D087DA5E1A}" name="tblExpenses" displayName="tblExpenses" ref="A1:M416" totalsRowShown="0" headerRowDxfId="73">
  <autoFilter ref="A1:M416" xr:uid="{3B359955-5C84-473C-85B7-19D087DA5E1A}"/>
  <tableColumns count="13">
    <tableColumn id="1" xr3:uid="{9CE5B33E-A91A-4561-9891-577E3CE689E2}" name="Expense ID"/>
    <tableColumn id="2" xr3:uid="{6CE06521-B8A3-4540-BCF9-05D7AEA82077}" name="Date" dataDxfId="72"/>
    <tableColumn id="3" xr3:uid="{CDCA1556-2FEC-499C-A0D8-0A34FDE1D5D6}" name="Department"/>
    <tableColumn id="4" xr3:uid="{26A2B1FB-C178-4F6D-BA3E-A448E06D29E0}" name="Category"/>
    <tableColumn id="5" xr3:uid="{FAB5A14E-6BD6-4F96-9405-26741BD51F1E}" name="Description"/>
    <tableColumn id="6" xr3:uid="{C66063F3-F500-4456-95F8-83BFA96EFDB5}" name="Amount (INR)" dataDxfId="71"/>
    <tableColumn id="7" xr3:uid="{DFE0C2FB-E7C6-4C36-934B-68C6BF13B35F}" name="Payment Method"/>
    <tableColumn id="8" xr3:uid="{7993D3B0-4683-47FB-B3E1-D947CBF1E8A2}" name="Approved"/>
    <tableColumn id="9" xr3:uid="{3B825C11-7593-40A3-B0F0-35A01D11F7CD}" name="Budget Allocated" dataDxfId="70"/>
    <tableColumn id="10" xr3:uid="{8E8944D5-8558-40C9-BE31-3C70EEB86A8B}" name="Budget Remaining" dataDxfId="69"/>
    <tableColumn id="11" xr3:uid="{C11840EA-69EE-4474-AAF0-FD13B72718C9}" name="Vendor Name"/>
    <tableColumn id="12" xr3:uid="{9FD0CC3E-BFB9-45EB-806C-F66AA432A261}" name="Invoice Number"/>
    <tableColumn id="13" xr3:uid="{F163D2C7-E01F-461C-A89C-A924011F38E9}"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FBDAB-4E30-432A-BFE1-079F1FB161BD}">
  <dimension ref="A1:L416"/>
  <sheetViews>
    <sheetView workbookViewId="0">
      <selection activeCell="F7" sqref="F7"/>
    </sheetView>
  </sheetViews>
  <sheetFormatPr defaultRowHeight="14.5" x14ac:dyDescent="0.35"/>
  <cols>
    <col min="1" max="1" width="9.6328125" bestFit="1" customWidth="1"/>
    <col min="2" max="2" width="5.81640625" bestFit="1" customWidth="1"/>
    <col min="3" max="3" width="10.54296875" bestFit="1" customWidth="1"/>
    <col min="4" max="4" width="13" bestFit="1" customWidth="1"/>
    <col min="5" max="5" width="31.1796875" bestFit="1" customWidth="1"/>
    <col min="6" max="6" width="11.54296875" bestFit="1" customWidth="1"/>
    <col min="7" max="7" width="14.453125" bestFit="1" customWidth="1"/>
    <col min="8" max="8" width="8.36328125" bestFit="1" customWidth="1"/>
    <col min="9" max="9" width="14.54296875" bestFit="1" customWidth="1"/>
    <col min="10" max="10" width="15.36328125" bestFit="1" customWidth="1"/>
    <col min="11" max="11" width="17.81640625" bestFit="1" customWidth="1"/>
    <col min="12" max="12" width="13.453125" bestFit="1" customWidth="1"/>
  </cols>
  <sheetData>
    <row r="1" spans="1:12" x14ac:dyDescent="0.35">
      <c r="A1" s="3" t="s">
        <v>0</v>
      </c>
      <c r="B1" s="3" t="s">
        <v>1</v>
      </c>
      <c r="C1" s="3" t="s">
        <v>2</v>
      </c>
      <c r="D1" s="3" t="s">
        <v>3</v>
      </c>
      <c r="E1" s="3" t="s">
        <v>4</v>
      </c>
      <c r="F1" s="3" t="s">
        <v>5</v>
      </c>
      <c r="G1" s="3" t="s">
        <v>6</v>
      </c>
      <c r="H1" s="3" t="s">
        <v>7</v>
      </c>
      <c r="I1" s="3" t="s">
        <v>8</v>
      </c>
      <c r="J1" s="3" t="s">
        <v>9</v>
      </c>
      <c r="K1" s="3" t="s">
        <v>10</v>
      </c>
      <c r="L1" s="3" t="s">
        <v>11</v>
      </c>
    </row>
    <row r="2" spans="1:12" x14ac:dyDescent="0.35">
      <c r="A2" t="s">
        <v>12</v>
      </c>
      <c r="B2">
        <v>45682</v>
      </c>
      <c r="C2" t="s">
        <v>13</v>
      </c>
      <c r="D2" t="s">
        <v>14</v>
      </c>
      <c r="E2" t="s">
        <v>15</v>
      </c>
      <c r="F2">
        <v>7099</v>
      </c>
      <c r="G2" t="s">
        <v>16</v>
      </c>
      <c r="H2" t="s">
        <v>17</v>
      </c>
      <c r="I2">
        <v>8386</v>
      </c>
      <c r="J2">
        <v>1287</v>
      </c>
      <c r="K2" t="s">
        <v>18</v>
      </c>
      <c r="L2" t="s">
        <v>19</v>
      </c>
    </row>
    <row r="3" spans="1:12" x14ac:dyDescent="0.35">
      <c r="A3" t="s">
        <v>20</v>
      </c>
      <c r="B3">
        <v>45677</v>
      </c>
      <c r="C3" t="s">
        <v>13</v>
      </c>
      <c r="D3" t="s">
        <v>21</v>
      </c>
      <c r="E3" t="s">
        <v>22</v>
      </c>
      <c r="F3">
        <v>37909</v>
      </c>
      <c r="G3" t="s">
        <v>23</v>
      </c>
      <c r="H3" t="s">
        <v>17</v>
      </c>
      <c r="I3">
        <v>39147</v>
      </c>
      <c r="J3">
        <v>1238</v>
      </c>
      <c r="K3" t="s">
        <v>18</v>
      </c>
      <c r="L3" t="s">
        <v>24</v>
      </c>
    </row>
    <row r="4" spans="1:12" x14ac:dyDescent="0.35">
      <c r="A4" t="s">
        <v>25</v>
      </c>
      <c r="B4">
        <v>45665</v>
      </c>
      <c r="C4" t="s">
        <v>13</v>
      </c>
      <c r="D4" t="s">
        <v>26</v>
      </c>
      <c r="E4" t="s">
        <v>27</v>
      </c>
      <c r="F4">
        <v>5729</v>
      </c>
      <c r="G4" t="s">
        <v>16</v>
      </c>
      <c r="H4" t="s">
        <v>17</v>
      </c>
      <c r="I4">
        <v>8391</v>
      </c>
      <c r="J4">
        <v>2662</v>
      </c>
      <c r="K4" t="s">
        <v>28</v>
      </c>
      <c r="L4" t="s">
        <v>29</v>
      </c>
    </row>
    <row r="5" spans="1:12" x14ac:dyDescent="0.35">
      <c r="A5" t="s">
        <v>30</v>
      </c>
      <c r="B5">
        <v>45660</v>
      </c>
      <c r="C5" t="s">
        <v>21</v>
      </c>
      <c r="D5" t="s">
        <v>31</v>
      </c>
      <c r="E5" t="s">
        <v>32</v>
      </c>
      <c r="F5">
        <v>21974</v>
      </c>
      <c r="G5" t="s">
        <v>16</v>
      </c>
      <c r="H5" t="s">
        <v>17</v>
      </c>
      <c r="I5">
        <v>22502</v>
      </c>
      <c r="J5">
        <v>528</v>
      </c>
      <c r="K5" t="s">
        <v>33</v>
      </c>
      <c r="L5" t="s">
        <v>34</v>
      </c>
    </row>
    <row r="6" spans="1:12" x14ac:dyDescent="0.35">
      <c r="A6" t="s">
        <v>35</v>
      </c>
      <c r="B6">
        <v>45682</v>
      </c>
      <c r="C6" t="s">
        <v>21</v>
      </c>
      <c r="D6" t="s">
        <v>36</v>
      </c>
      <c r="E6" t="s">
        <v>37</v>
      </c>
      <c r="F6">
        <v>70564</v>
      </c>
      <c r="G6" t="s">
        <v>38</v>
      </c>
      <c r="H6" t="s">
        <v>17</v>
      </c>
      <c r="I6">
        <v>77440</v>
      </c>
      <c r="J6">
        <v>6876</v>
      </c>
      <c r="K6" t="s">
        <v>39</v>
      </c>
      <c r="L6" t="s">
        <v>40</v>
      </c>
    </row>
    <row r="7" spans="1:12" x14ac:dyDescent="0.35">
      <c r="A7" t="s">
        <v>41</v>
      </c>
      <c r="B7">
        <v>45681</v>
      </c>
      <c r="C7" t="s">
        <v>21</v>
      </c>
      <c r="D7" t="s">
        <v>14</v>
      </c>
      <c r="E7" t="s">
        <v>42</v>
      </c>
      <c r="F7">
        <v>23713</v>
      </c>
      <c r="G7" t="s">
        <v>23</v>
      </c>
      <c r="H7" t="s">
        <v>43</v>
      </c>
      <c r="I7">
        <v>28542</v>
      </c>
      <c r="J7">
        <v>4829</v>
      </c>
      <c r="K7" t="s">
        <v>39</v>
      </c>
      <c r="L7" t="s">
        <v>44</v>
      </c>
    </row>
    <row r="8" spans="1:12" x14ac:dyDescent="0.35">
      <c r="A8" t="s">
        <v>45</v>
      </c>
      <c r="B8">
        <v>45685</v>
      </c>
      <c r="C8" t="s">
        <v>46</v>
      </c>
      <c r="D8" t="s">
        <v>36</v>
      </c>
      <c r="E8" t="s">
        <v>47</v>
      </c>
      <c r="F8">
        <v>67515</v>
      </c>
      <c r="G8" t="s">
        <v>23</v>
      </c>
      <c r="H8" t="s">
        <v>17</v>
      </c>
      <c r="I8">
        <v>87309</v>
      </c>
      <c r="J8">
        <v>19794</v>
      </c>
      <c r="K8" t="s">
        <v>39</v>
      </c>
      <c r="L8" t="s">
        <v>48</v>
      </c>
    </row>
    <row r="9" spans="1:12" x14ac:dyDescent="0.35">
      <c r="A9" t="s">
        <v>49</v>
      </c>
      <c r="B9">
        <v>45660</v>
      </c>
      <c r="C9" t="s">
        <v>46</v>
      </c>
      <c r="D9" t="s">
        <v>31</v>
      </c>
      <c r="E9" t="s">
        <v>50</v>
      </c>
      <c r="F9">
        <v>30644</v>
      </c>
      <c r="G9" t="s">
        <v>51</v>
      </c>
      <c r="H9" t="s">
        <v>17</v>
      </c>
      <c r="I9">
        <v>44207</v>
      </c>
      <c r="J9">
        <v>13563</v>
      </c>
      <c r="K9" t="s">
        <v>39</v>
      </c>
      <c r="L9" t="s">
        <v>52</v>
      </c>
    </row>
    <row r="10" spans="1:12" x14ac:dyDescent="0.35">
      <c r="A10" t="s">
        <v>53</v>
      </c>
      <c r="B10">
        <v>45668</v>
      </c>
      <c r="C10" t="s">
        <v>46</v>
      </c>
      <c r="D10" t="s">
        <v>54</v>
      </c>
      <c r="E10" t="s">
        <v>55</v>
      </c>
      <c r="F10">
        <v>8331</v>
      </c>
      <c r="G10" t="s">
        <v>16</v>
      </c>
      <c r="H10" t="s">
        <v>17</v>
      </c>
      <c r="I10">
        <v>11602</v>
      </c>
      <c r="J10">
        <v>3271</v>
      </c>
      <c r="K10" t="s">
        <v>28</v>
      </c>
      <c r="L10" t="s">
        <v>56</v>
      </c>
    </row>
    <row r="11" spans="1:12" x14ac:dyDescent="0.35">
      <c r="A11" t="s">
        <v>57</v>
      </c>
      <c r="B11">
        <v>45677</v>
      </c>
      <c r="C11" t="s">
        <v>46</v>
      </c>
      <c r="D11" t="s">
        <v>58</v>
      </c>
      <c r="E11" t="s">
        <v>59</v>
      </c>
      <c r="F11">
        <v>55807</v>
      </c>
      <c r="G11" t="s">
        <v>23</v>
      </c>
      <c r="H11" t="s">
        <v>17</v>
      </c>
      <c r="I11">
        <v>62479</v>
      </c>
      <c r="J11">
        <v>6672</v>
      </c>
      <c r="K11" t="s">
        <v>28</v>
      </c>
      <c r="L11" t="s">
        <v>60</v>
      </c>
    </row>
    <row r="12" spans="1:12" x14ac:dyDescent="0.35">
      <c r="A12" t="s">
        <v>61</v>
      </c>
      <c r="B12">
        <v>45662</v>
      </c>
      <c r="C12" t="s">
        <v>46</v>
      </c>
      <c r="D12" t="s">
        <v>31</v>
      </c>
      <c r="E12" t="s">
        <v>50</v>
      </c>
      <c r="F12">
        <v>35534</v>
      </c>
      <c r="G12" t="s">
        <v>16</v>
      </c>
      <c r="H12" t="s">
        <v>43</v>
      </c>
      <c r="I12">
        <v>49832</v>
      </c>
      <c r="J12">
        <v>14298</v>
      </c>
      <c r="K12" t="s">
        <v>62</v>
      </c>
      <c r="L12" t="s">
        <v>63</v>
      </c>
    </row>
    <row r="13" spans="1:12" x14ac:dyDescent="0.35">
      <c r="A13" t="s">
        <v>64</v>
      </c>
      <c r="B13">
        <v>45667</v>
      </c>
      <c r="C13" t="s">
        <v>46</v>
      </c>
      <c r="D13" t="s">
        <v>14</v>
      </c>
      <c r="E13" t="s">
        <v>65</v>
      </c>
      <c r="F13">
        <v>31806</v>
      </c>
      <c r="G13" t="s">
        <v>51</v>
      </c>
      <c r="H13" t="s">
        <v>17</v>
      </c>
      <c r="I13">
        <v>36795</v>
      </c>
      <c r="J13">
        <v>4989</v>
      </c>
      <c r="K13" t="s">
        <v>66</v>
      </c>
      <c r="L13" t="s">
        <v>67</v>
      </c>
    </row>
    <row r="14" spans="1:12" x14ac:dyDescent="0.35">
      <c r="A14" t="s">
        <v>68</v>
      </c>
      <c r="B14">
        <v>45663</v>
      </c>
      <c r="C14" t="s">
        <v>46</v>
      </c>
      <c r="D14" t="s">
        <v>54</v>
      </c>
      <c r="E14" t="s">
        <v>55</v>
      </c>
      <c r="F14">
        <v>6789</v>
      </c>
      <c r="G14" t="s">
        <v>38</v>
      </c>
      <c r="H14" t="s">
        <v>17</v>
      </c>
      <c r="I14">
        <v>7092</v>
      </c>
      <c r="J14">
        <v>303</v>
      </c>
      <c r="K14" t="s">
        <v>69</v>
      </c>
      <c r="L14" t="s">
        <v>70</v>
      </c>
    </row>
    <row r="15" spans="1:12" x14ac:dyDescent="0.35">
      <c r="A15" t="s">
        <v>71</v>
      </c>
      <c r="B15">
        <v>45673</v>
      </c>
      <c r="C15" t="s">
        <v>72</v>
      </c>
      <c r="D15" t="s">
        <v>21</v>
      </c>
      <c r="E15" t="s">
        <v>73</v>
      </c>
      <c r="F15">
        <v>42497</v>
      </c>
      <c r="G15" t="s">
        <v>23</v>
      </c>
      <c r="H15" t="s">
        <v>17</v>
      </c>
      <c r="I15">
        <v>63144</v>
      </c>
      <c r="J15">
        <v>20647</v>
      </c>
      <c r="K15" t="s">
        <v>66</v>
      </c>
      <c r="L15" t="s">
        <v>74</v>
      </c>
    </row>
    <row r="16" spans="1:12" x14ac:dyDescent="0.35">
      <c r="A16" t="s">
        <v>75</v>
      </c>
      <c r="B16">
        <v>45679</v>
      </c>
      <c r="C16" t="s">
        <v>72</v>
      </c>
      <c r="D16" t="s">
        <v>36</v>
      </c>
      <c r="E16" t="s">
        <v>76</v>
      </c>
      <c r="F16">
        <v>117328</v>
      </c>
      <c r="G16" t="s">
        <v>51</v>
      </c>
      <c r="H16" t="s">
        <v>17</v>
      </c>
      <c r="I16">
        <v>153681</v>
      </c>
      <c r="J16">
        <v>36353</v>
      </c>
      <c r="K16" t="s">
        <v>33</v>
      </c>
      <c r="L16" t="s">
        <v>77</v>
      </c>
    </row>
    <row r="17" spans="1:12" x14ac:dyDescent="0.35">
      <c r="A17" t="s">
        <v>78</v>
      </c>
      <c r="B17">
        <v>45671</v>
      </c>
      <c r="C17" t="s">
        <v>72</v>
      </c>
      <c r="D17" t="s">
        <v>54</v>
      </c>
      <c r="E17" t="s">
        <v>79</v>
      </c>
      <c r="F17">
        <v>7122</v>
      </c>
      <c r="G17" t="s">
        <v>38</v>
      </c>
      <c r="H17" t="s">
        <v>17</v>
      </c>
      <c r="I17">
        <v>7419</v>
      </c>
      <c r="J17">
        <v>297</v>
      </c>
      <c r="K17" t="s">
        <v>80</v>
      </c>
      <c r="L17" t="s">
        <v>81</v>
      </c>
    </row>
    <row r="18" spans="1:12" x14ac:dyDescent="0.35">
      <c r="A18" t="s">
        <v>82</v>
      </c>
      <c r="B18">
        <v>45675</v>
      </c>
      <c r="C18" t="s">
        <v>72</v>
      </c>
      <c r="D18" t="s">
        <v>58</v>
      </c>
      <c r="E18" t="s">
        <v>83</v>
      </c>
      <c r="F18">
        <v>37088</v>
      </c>
      <c r="G18" t="s">
        <v>23</v>
      </c>
      <c r="H18" t="s">
        <v>17</v>
      </c>
      <c r="I18">
        <v>50064</v>
      </c>
      <c r="J18">
        <v>12976</v>
      </c>
      <c r="K18" t="s">
        <v>62</v>
      </c>
      <c r="L18" t="s">
        <v>84</v>
      </c>
    </row>
    <row r="19" spans="1:12" x14ac:dyDescent="0.35">
      <c r="A19" t="s">
        <v>85</v>
      </c>
      <c r="B19">
        <v>45685</v>
      </c>
      <c r="C19" t="s">
        <v>72</v>
      </c>
      <c r="D19" t="s">
        <v>36</v>
      </c>
      <c r="E19" t="s">
        <v>76</v>
      </c>
      <c r="F19">
        <v>25736</v>
      </c>
      <c r="G19" t="s">
        <v>23</v>
      </c>
      <c r="H19" t="s">
        <v>17</v>
      </c>
      <c r="I19">
        <v>33072</v>
      </c>
      <c r="J19">
        <v>7336</v>
      </c>
      <c r="K19" t="s">
        <v>86</v>
      </c>
      <c r="L19" t="s">
        <v>87</v>
      </c>
    </row>
    <row r="20" spans="1:12" x14ac:dyDescent="0.35">
      <c r="A20" t="s">
        <v>88</v>
      </c>
      <c r="B20">
        <v>45678</v>
      </c>
      <c r="C20" t="s">
        <v>72</v>
      </c>
      <c r="D20" t="s">
        <v>14</v>
      </c>
      <c r="E20" t="s">
        <v>89</v>
      </c>
      <c r="F20">
        <v>24867</v>
      </c>
      <c r="G20" t="s">
        <v>38</v>
      </c>
      <c r="H20" t="s">
        <v>17</v>
      </c>
      <c r="I20">
        <v>30659</v>
      </c>
      <c r="J20">
        <v>5792</v>
      </c>
      <c r="K20" t="s">
        <v>62</v>
      </c>
      <c r="L20" t="s">
        <v>90</v>
      </c>
    </row>
    <row r="21" spans="1:12" x14ac:dyDescent="0.35">
      <c r="A21" t="s">
        <v>91</v>
      </c>
      <c r="B21">
        <v>45664</v>
      </c>
      <c r="C21" t="s">
        <v>92</v>
      </c>
      <c r="D21" t="s">
        <v>14</v>
      </c>
      <c r="E21" t="s">
        <v>93</v>
      </c>
      <c r="F21">
        <v>28014</v>
      </c>
      <c r="G21" t="s">
        <v>38</v>
      </c>
      <c r="H21" t="s">
        <v>17</v>
      </c>
      <c r="I21">
        <v>38774</v>
      </c>
      <c r="J21">
        <v>10760</v>
      </c>
      <c r="K21" t="s">
        <v>62</v>
      </c>
      <c r="L21" t="s">
        <v>94</v>
      </c>
    </row>
    <row r="22" spans="1:12" x14ac:dyDescent="0.35">
      <c r="A22" t="s">
        <v>95</v>
      </c>
      <c r="B22">
        <v>45680</v>
      </c>
      <c r="C22" t="s">
        <v>92</v>
      </c>
      <c r="D22" t="s">
        <v>54</v>
      </c>
      <c r="E22" t="s">
        <v>96</v>
      </c>
      <c r="F22">
        <v>10901</v>
      </c>
      <c r="G22" t="s">
        <v>38</v>
      </c>
      <c r="H22" t="s">
        <v>17</v>
      </c>
      <c r="I22">
        <v>13552</v>
      </c>
      <c r="J22">
        <v>2651</v>
      </c>
      <c r="K22" t="s">
        <v>66</v>
      </c>
      <c r="L22" t="s">
        <v>97</v>
      </c>
    </row>
    <row r="23" spans="1:12" x14ac:dyDescent="0.35">
      <c r="A23" t="s">
        <v>98</v>
      </c>
      <c r="B23">
        <v>45673</v>
      </c>
      <c r="C23" t="s">
        <v>92</v>
      </c>
      <c r="D23" t="s">
        <v>58</v>
      </c>
      <c r="E23" t="s">
        <v>99</v>
      </c>
      <c r="F23">
        <v>76444</v>
      </c>
      <c r="G23" t="s">
        <v>51</v>
      </c>
      <c r="H23" t="s">
        <v>17</v>
      </c>
      <c r="I23">
        <v>82397</v>
      </c>
      <c r="J23">
        <v>5953</v>
      </c>
      <c r="K23" t="s">
        <v>33</v>
      </c>
      <c r="L23" t="s">
        <v>100</v>
      </c>
    </row>
    <row r="24" spans="1:12" x14ac:dyDescent="0.35">
      <c r="A24" t="s">
        <v>101</v>
      </c>
      <c r="B24">
        <v>45683</v>
      </c>
      <c r="C24" t="s">
        <v>92</v>
      </c>
      <c r="D24" t="s">
        <v>58</v>
      </c>
      <c r="E24" t="s">
        <v>99</v>
      </c>
      <c r="F24">
        <v>54844</v>
      </c>
      <c r="G24" t="s">
        <v>16</v>
      </c>
      <c r="H24" t="s">
        <v>17</v>
      </c>
      <c r="I24">
        <v>56555</v>
      </c>
      <c r="J24">
        <v>1711</v>
      </c>
      <c r="K24" t="s">
        <v>69</v>
      </c>
      <c r="L24" t="s">
        <v>102</v>
      </c>
    </row>
    <row r="25" spans="1:12" x14ac:dyDescent="0.35">
      <c r="A25" t="s">
        <v>103</v>
      </c>
      <c r="B25">
        <v>45682</v>
      </c>
      <c r="C25" t="s">
        <v>92</v>
      </c>
      <c r="D25" t="s">
        <v>58</v>
      </c>
      <c r="E25" t="s">
        <v>99</v>
      </c>
      <c r="F25">
        <v>32720</v>
      </c>
      <c r="G25" t="s">
        <v>38</v>
      </c>
      <c r="H25" t="s">
        <v>17</v>
      </c>
      <c r="I25">
        <v>46921</v>
      </c>
      <c r="J25">
        <v>14201</v>
      </c>
      <c r="K25" t="s">
        <v>66</v>
      </c>
      <c r="L25" t="s">
        <v>104</v>
      </c>
    </row>
    <row r="26" spans="1:12" x14ac:dyDescent="0.35">
      <c r="A26" t="s">
        <v>105</v>
      </c>
      <c r="B26">
        <v>45666</v>
      </c>
      <c r="C26" t="s">
        <v>92</v>
      </c>
      <c r="D26" t="s">
        <v>21</v>
      </c>
      <c r="E26" t="s">
        <v>106</v>
      </c>
      <c r="F26">
        <v>31912</v>
      </c>
      <c r="G26" t="s">
        <v>38</v>
      </c>
      <c r="H26" t="s">
        <v>17</v>
      </c>
      <c r="I26">
        <v>34174</v>
      </c>
      <c r="J26">
        <v>2262</v>
      </c>
      <c r="K26" t="s">
        <v>66</v>
      </c>
      <c r="L26" t="s">
        <v>107</v>
      </c>
    </row>
    <row r="27" spans="1:12" x14ac:dyDescent="0.35">
      <c r="A27" t="s">
        <v>108</v>
      </c>
      <c r="B27">
        <v>45666</v>
      </c>
      <c r="C27" t="s">
        <v>92</v>
      </c>
      <c r="D27" t="s">
        <v>36</v>
      </c>
      <c r="E27" t="s">
        <v>109</v>
      </c>
      <c r="F27">
        <v>73783</v>
      </c>
      <c r="G27" t="s">
        <v>51</v>
      </c>
      <c r="H27" t="s">
        <v>17</v>
      </c>
      <c r="I27">
        <v>81682</v>
      </c>
      <c r="J27">
        <v>7899</v>
      </c>
      <c r="K27" t="s">
        <v>62</v>
      </c>
      <c r="L27" t="s">
        <v>110</v>
      </c>
    </row>
    <row r="28" spans="1:12" x14ac:dyDescent="0.35">
      <c r="A28" t="s">
        <v>111</v>
      </c>
      <c r="B28">
        <v>45664</v>
      </c>
      <c r="C28" t="s">
        <v>92</v>
      </c>
      <c r="D28" t="s">
        <v>54</v>
      </c>
      <c r="E28" t="s">
        <v>96</v>
      </c>
      <c r="F28">
        <v>13340</v>
      </c>
      <c r="G28" t="s">
        <v>16</v>
      </c>
      <c r="H28" t="s">
        <v>17</v>
      </c>
      <c r="I28">
        <v>15320</v>
      </c>
      <c r="J28">
        <v>1980</v>
      </c>
      <c r="K28" t="s">
        <v>69</v>
      </c>
      <c r="L28" t="s">
        <v>112</v>
      </c>
    </row>
    <row r="29" spans="1:12" x14ac:dyDescent="0.35">
      <c r="A29" t="s">
        <v>113</v>
      </c>
      <c r="B29">
        <v>45680</v>
      </c>
      <c r="C29" t="s">
        <v>114</v>
      </c>
      <c r="D29" t="s">
        <v>21</v>
      </c>
      <c r="E29" t="s">
        <v>115</v>
      </c>
      <c r="F29">
        <v>124500</v>
      </c>
      <c r="G29" t="s">
        <v>38</v>
      </c>
      <c r="H29" t="s">
        <v>17</v>
      </c>
      <c r="I29">
        <v>146580</v>
      </c>
      <c r="J29">
        <v>22080</v>
      </c>
      <c r="K29" t="s">
        <v>116</v>
      </c>
      <c r="L29" t="s">
        <v>117</v>
      </c>
    </row>
    <row r="30" spans="1:12" x14ac:dyDescent="0.35">
      <c r="A30" t="s">
        <v>118</v>
      </c>
      <c r="B30">
        <v>45676</v>
      </c>
      <c r="C30" t="s">
        <v>114</v>
      </c>
      <c r="D30" t="s">
        <v>26</v>
      </c>
      <c r="E30" t="s">
        <v>119</v>
      </c>
      <c r="F30">
        <v>1137</v>
      </c>
      <c r="G30" t="s">
        <v>51</v>
      </c>
      <c r="H30" t="s">
        <v>17</v>
      </c>
      <c r="I30">
        <v>1548</v>
      </c>
      <c r="J30">
        <v>411</v>
      </c>
      <c r="K30" t="s">
        <v>33</v>
      </c>
      <c r="L30" t="s">
        <v>120</v>
      </c>
    </row>
    <row r="31" spans="1:12" x14ac:dyDescent="0.35">
      <c r="A31" t="s">
        <v>121</v>
      </c>
      <c r="B31">
        <v>45673</v>
      </c>
      <c r="C31" t="s">
        <v>114</v>
      </c>
      <c r="D31" t="s">
        <v>21</v>
      </c>
      <c r="E31" t="s">
        <v>115</v>
      </c>
      <c r="F31">
        <v>130234</v>
      </c>
      <c r="G31" t="s">
        <v>16</v>
      </c>
      <c r="H31" t="s">
        <v>17</v>
      </c>
      <c r="I31">
        <v>191042</v>
      </c>
      <c r="J31">
        <v>60808</v>
      </c>
      <c r="K31" t="s">
        <v>86</v>
      </c>
      <c r="L31" t="s">
        <v>122</v>
      </c>
    </row>
    <row r="32" spans="1:12" x14ac:dyDescent="0.35">
      <c r="A32" t="s">
        <v>123</v>
      </c>
      <c r="B32">
        <v>45685</v>
      </c>
      <c r="C32" t="s">
        <v>114</v>
      </c>
      <c r="D32" t="s">
        <v>58</v>
      </c>
      <c r="E32" t="s">
        <v>124</v>
      </c>
      <c r="F32">
        <v>64055</v>
      </c>
      <c r="G32" t="s">
        <v>51</v>
      </c>
      <c r="H32" t="s">
        <v>17</v>
      </c>
      <c r="I32">
        <v>94267</v>
      </c>
      <c r="J32">
        <v>30212</v>
      </c>
      <c r="K32" t="s">
        <v>28</v>
      </c>
      <c r="L32" t="s">
        <v>125</v>
      </c>
    </row>
    <row r="33" spans="1:12" x14ac:dyDescent="0.35">
      <c r="A33" t="s">
        <v>126</v>
      </c>
      <c r="B33">
        <v>45664</v>
      </c>
      <c r="C33" t="s">
        <v>114</v>
      </c>
      <c r="D33" t="s">
        <v>58</v>
      </c>
      <c r="E33" t="s">
        <v>124</v>
      </c>
      <c r="F33">
        <v>33655</v>
      </c>
      <c r="G33" t="s">
        <v>38</v>
      </c>
      <c r="H33" t="s">
        <v>43</v>
      </c>
      <c r="I33">
        <v>46203</v>
      </c>
      <c r="J33">
        <v>12548</v>
      </c>
      <c r="K33" t="s">
        <v>39</v>
      </c>
      <c r="L33" t="s">
        <v>127</v>
      </c>
    </row>
    <row r="34" spans="1:12" x14ac:dyDescent="0.35">
      <c r="A34" t="s">
        <v>128</v>
      </c>
      <c r="B34">
        <v>45664</v>
      </c>
      <c r="C34" t="s">
        <v>114</v>
      </c>
      <c r="D34" t="s">
        <v>36</v>
      </c>
      <c r="E34" t="s">
        <v>129</v>
      </c>
      <c r="F34">
        <v>33329</v>
      </c>
      <c r="G34" t="s">
        <v>23</v>
      </c>
      <c r="H34" t="s">
        <v>17</v>
      </c>
      <c r="I34">
        <v>39130</v>
      </c>
      <c r="J34">
        <v>5801</v>
      </c>
      <c r="K34" t="s">
        <v>33</v>
      </c>
      <c r="L34" t="s">
        <v>130</v>
      </c>
    </row>
    <row r="35" spans="1:12" x14ac:dyDescent="0.35">
      <c r="A35" t="s">
        <v>131</v>
      </c>
      <c r="B35">
        <v>45685</v>
      </c>
      <c r="C35" t="s">
        <v>114</v>
      </c>
      <c r="D35" t="s">
        <v>132</v>
      </c>
      <c r="E35" t="s">
        <v>133</v>
      </c>
      <c r="F35">
        <v>13058</v>
      </c>
      <c r="G35" t="s">
        <v>23</v>
      </c>
      <c r="H35" t="s">
        <v>17</v>
      </c>
      <c r="I35">
        <v>16336</v>
      </c>
      <c r="J35">
        <v>3278</v>
      </c>
      <c r="K35" t="s">
        <v>69</v>
      </c>
      <c r="L35" t="s">
        <v>134</v>
      </c>
    </row>
    <row r="36" spans="1:12" x14ac:dyDescent="0.35">
      <c r="A36" t="s">
        <v>135</v>
      </c>
      <c r="B36">
        <v>45702</v>
      </c>
      <c r="C36" t="s">
        <v>13</v>
      </c>
      <c r="D36" t="s">
        <v>54</v>
      </c>
      <c r="E36" t="s">
        <v>136</v>
      </c>
      <c r="F36">
        <v>6770</v>
      </c>
      <c r="G36" t="s">
        <v>16</v>
      </c>
      <c r="H36" t="s">
        <v>17</v>
      </c>
      <c r="I36">
        <v>9573</v>
      </c>
      <c r="J36">
        <v>2803</v>
      </c>
      <c r="K36" t="s">
        <v>39</v>
      </c>
      <c r="L36" t="s">
        <v>137</v>
      </c>
    </row>
    <row r="37" spans="1:12" x14ac:dyDescent="0.35">
      <c r="A37" t="s">
        <v>138</v>
      </c>
      <c r="B37">
        <v>45708</v>
      </c>
      <c r="C37" t="s">
        <v>13</v>
      </c>
      <c r="D37" t="s">
        <v>36</v>
      </c>
      <c r="E37" t="s">
        <v>139</v>
      </c>
      <c r="F37">
        <v>53905</v>
      </c>
      <c r="G37" t="s">
        <v>51</v>
      </c>
      <c r="H37" t="s">
        <v>43</v>
      </c>
      <c r="I37">
        <v>58673</v>
      </c>
      <c r="J37">
        <v>4768</v>
      </c>
      <c r="K37" t="s">
        <v>86</v>
      </c>
      <c r="L37" t="s">
        <v>140</v>
      </c>
    </row>
    <row r="38" spans="1:12" x14ac:dyDescent="0.35">
      <c r="A38" t="s">
        <v>141</v>
      </c>
      <c r="B38">
        <v>45702</v>
      </c>
      <c r="C38" t="s">
        <v>13</v>
      </c>
      <c r="D38" t="s">
        <v>132</v>
      </c>
      <c r="E38" t="s">
        <v>142</v>
      </c>
      <c r="F38">
        <v>24613</v>
      </c>
      <c r="G38" t="s">
        <v>16</v>
      </c>
      <c r="H38" t="s">
        <v>43</v>
      </c>
      <c r="I38">
        <v>33087</v>
      </c>
      <c r="J38">
        <v>8474</v>
      </c>
      <c r="K38" t="s">
        <v>62</v>
      </c>
      <c r="L38" t="s">
        <v>143</v>
      </c>
    </row>
    <row r="39" spans="1:12" x14ac:dyDescent="0.35">
      <c r="A39" t="s">
        <v>144</v>
      </c>
      <c r="B39">
        <v>45708</v>
      </c>
      <c r="C39" t="s">
        <v>13</v>
      </c>
      <c r="D39" t="s">
        <v>14</v>
      </c>
      <c r="E39" t="s">
        <v>15</v>
      </c>
      <c r="F39">
        <v>7874</v>
      </c>
      <c r="G39" t="s">
        <v>38</v>
      </c>
      <c r="H39" t="s">
        <v>17</v>
      </c>
      <c r="I39">
        <v>10432</v>
      </c>
      <c r="J39">
        <v>2558</v>
      </c>
      <c r="K39" t="s">
        <v>69</v>
      </c>
      <c r="L39" t="s">
        <v>145</v>
      </c>
    </row>
    <row r="40" spans="1:12" x14ac:dyDescent="0.35">
      <c r="A40" t="s">
        <v>146</v>
      </c>
      <c r="B40">
        <v>45707</v>
      </c>
      <c r="C40" t="s">
        <v>13</v>
      </c>
      <c r="D40" t="s">
        <v>14</v>
      </c>
      <c r="E40" t="s">
        <v>15</v>
      </c>
      <c r="F40">
        <v>43518</v>
      </c>
      <c r="G40" t="s">
        <v>23</v>
      </c>
      <c r="H40" t="s">
        <v>17</v>
      </c>
      <c r="I40">
        <v>53181</v>
      </c>
      <c r="J40">
        <v>9663</v>
      </c>
      <c r="K40" t="s">
        <v>86</v>
      </c>
      <c r="L40" t="s">
        <v>147</v>
      </c>
    </row>
    <row r="41" spans="1:12" x14ac:dyDescent="0.35">
      <c r="A41" t="s">
        <v>148</v>
      </c>
      <c r="B41">
        <v>45701</v>
      </c>
      <c r="C41" t="s">
        <v>13</v>
      </c>
      <c r="D41" t="s">
        <v>26</v>
      </c>
      <c r="E41" t="s">
        <v>27</v>
      </c>
      <c r="F41">
        <v>6864</v>
      </c>
      <c r="G41" t="s">
        <v>23</v>
      </c>
      <c r="H41" t="s">
        <v>17</v>
      </c>
      <c r="I41">
        <v>8424</v>
      </c>
      <c r="J41">
        <v>1560</v>
      </c>
      <c r="K41" t="s">
        <v>69</v>
      </c>
      <c r="L41" t="s">
        <v>149</v>
      </c>
    </row>
    <row r="42" spans="1:12" x14ac:dyDescent="0.35">
      <c r="A42" t="s">
        <v>150</v>
      </c>
      <c r="B42">
        <v>45709</v>
      </c>
      <c r="C42" t="s">
        <v>21</v>
      </c>
      <c r="D42" t="s">
        <v>31</v>
      </c>
      <c r="E42" t="s">
        <v>32</v>
      </c>
      <c r="F42">
        <v>118248</v>
      </c>
      <c r="G42" t="s">
        <v>38</v>
      </c>
      <c r="H42" t="s">
        <v>17</v>
      </c>
      <c r="I42">
        <v>171932</v>
      </c>
      <c r="J42">
        <v>53684</v>
      </c>
      <c r="K42" t="s">
        <v>33</v>
      </c>
      <c r="L42" t="s">
        <v>151</v>
      </c>
    </row>
    <row r="43" spans="1:12" x14ac:dyDescent="0.35">
      <c r="A43" t="s">
        <v>152</v>
      </c>
      <c r="B43">
        <v>45697</v>
      </c>
      <c r="C43" t="s">
        <v>21</v>
      </c>
      <c r="D43" t="s">
        <v>132</v>
      </c>
      <c r="E43" t="s">
        <v>153</v>
      </c>
      <c r="F43">
        <v>11769</v>
      </c>
      <c r="G43" t="s">
        <v>16</v>
      </c>
      <c r="H43" t="s">
        <v>17</v>
      </c>
      <c r="I43">
        <v>16945</v>
      </c>
      <c r="J43">
        <v>5176</v>
      </c>
      <c r="K43" t="s">
        <v>18</v>
      </c>
      <c r="L43" t="s">
        <v>154</v>
      </c>
    </row>
    <row r="44" spans="1:12" x14ac:dyDescent="0.35">
      <c r="A44" t="s">
        <v>155</v>
      </c>
      <c r="B44">
        <v>45693</v>
      </c>
      <c r="C44" t="s">
        <v>21</v>
      </c>
      <c r="D44" t="s">
        <v>36</v>
      </c>
      <c r="E44" t="s">
        <v>37</v>
      </c>
      <c r="F44">
        <v>9282</v>
      </c>
      <c r="G44" t="s">
        <v>16</v>
      </c>
      <c r="H44" t="s">
        <v>43</v>
      </c>
      <c r="I44">
        <v>9354</v>
      </c>
      <c r="J44">
        <v>72</v>
      </c>
      <c r="K44" t="s">
        <v>28</v>
      </c>
      <c r="L44" t="s">
        <v>156</v>
      </c>
    </row>
    <row r="45" spans="1:12" x14ac:dyDescent="0.35">
      <c r="A45" t="s">
        <v>157</v>
      </c>
      <c r="B45">
        <v>45702</v>
      </c>
      <c r="C45" t="s">
        <v>21</v>
      </c>
      <c r="D45" t="s">
        <v>54</v>
      </c>
      <c r="E45" t="s">
        <v>158</v>
      </c>
      <c r="F45">
        <v>3792</v>
      </c>
      <c r="G45" t="s">
        <v>51</v>
      </c>
      <c r="H45" t="s">
        <v>43</v>
      </c>
      <c r="I45">
        <v>5611</v>
      </c>
      <c r="J45">
        <v>1819</v>
      </c>
      <c r="K45" t="s">
        <v>86</v>
      </c>
      <c r="L45" t="s">
        <v>159</v>
      </c>
    </row>
    <row r="46" spans="1:12" x14ac:dyDescent="0.35">
      <c r="A46" t="s">
        <v>160</v>
      </c>
      <c r="B46">
        <v>45707</v>
      </c>
      <c r="C46" t="s">
        <v>21</v>
      </c>
      <c r="D46" t="s">
        <v>36</v>
      </c>
      <c r="E46" t="s">
        <v>37</v>
      </c>
      <c r="F46">
        <v>113599</v>
      </c>
      <c r="G46" t="s">
        <v>38</v>
      </c>
      <c r="H46" t="s">
        <v>17</v>
      </c>
      <c r="I46">
        <v>116529</v>
      </c>
      <c r="J46">
        <v>2930</v>
      </c>
      <c r="K46" t="s">
        <v>86</v>
      </c>
      <c r="L46" t="s">
        <v>161</v>
      </c>
    </row>
    <row r="47" spans="1:12" x14ac:dyDescent="0.35">
      <c r="A47" t="s">
        <v>162</v>
      </c>
      <c r="B47">
        <v>45696</v>
      </c>
      <c r="C47" t="s">
        <v>46</v>
      </c>
      <c r="D47" t="s">
        <v>54</v>
      </c>
      <c r="E47" t="s">
        <v>55</v>
      </c>
      <c r="F47">
        <v>9475</v>
      </c>
      <c r="G47" t="s">
        <v>23</v>
      </c>
      <c r="H47" t="s">
        <v>17</v>
      </c>
      <c r="I47">
        <v>10226</v>
      </c>
      <c r="J47">
        <v>751</v>
      </c>
      <c r="K47" t="s">
        <v>116</v>
      </c>
      <c r="L47" t="s">
        <v>163</v>
      </c>
    </row>
    <row r="48" spans="1:12" x14ac:dyDescent="0.35">
      <c r="A48" t="s">
        <v>164</v>
      </c>
      <c r="B48">
        <v>45697</v>
      </c>
      <c r="C48" t="s">
        <v>46</v>
      </c>
      <c r="D48" t="s">
        <v>36</v>
      </c>
      <c r="E48" t="s">
        <v>47</v>
      </c>
      <c r="F48">
        <v>115497</v>
      </c>
      <c r="G48" t="s">
        <v>51</v>
      </c>
      <c r="H48" t="s">
        <v>17</v>
      </c>
      <c r="I48">
        <v>159511</v>
      </c>
      <c r="J48">
        <v>44014</v>
      </c>
      <c r="K48" t="s">
        <v>18</v>
      </c>
      <c r="L48" t="s">
        <v>165</v>
      </c>
    </row>
    <row r="49" spans="1:12" x14ac:dyDescent="0.35">
      <c r="A49" t="s">
        <v>166</v>
      </c>
      <c r="B49">
        <v>45709</v>
      </c>
      <c r="C49" t="s">
        <v>46</v>
      </c>
      <c r="D49" t="s">
        <v>14</v>
      </c>
      <c r="E49" t="s">
        <v>65</v>
      </c>
      <c r="F49">
        <v>3680</v>
      </c>
      <c r="G49" t="s">
        <v>51</v>
      </c>
      <c r="H49" t="s">
        <v>17</v>
      </c>
      <c r="I49">
        <v>4485</v>
      </c>
      <c r="J49">
        <v>805</v>
      </c>
      <c r="K49" t="s">
        <v>28</v>
      </c>
      <c r="L49" t="s">
        <v>167</v>
      </c>
    </row>
    <row r="50" spans="1:12" x14ac:dyDescent="0.35">
      <c r="A50" t="s">
        <v>168</v>
      </c>
      <c r="B50">
        <v>45712</v>
      </c>
      <c r="C50" t="s">
        <v>46</v>
      </c>
      <c r="D50" t="s">
        <v>14</v>
      </c>
      <c r="E50" t="s">
        <v>65</v>
      </c>
      <c r="F50">
        <v>39473</v>
      </c>
      <c r="G50" t="s">
        <v>51</v>
      </c>
      <c r="H50" t="s">
        <v>17</v>
      </c>
      <c r="I50">
        <v>47020</v>
      </c>
      <c r="J50">
        <v>7547</v>
      </c>
      <c r="K50" t="s">
        <v>33</v>
      </c>
      <c r="L50" t="s">
        <v>169</v>
      </c>
    </row>
    <row r="51" spans="1:12" x14ac:dyDescent="0.35">
      <c r="A51" t="s">
        <v>170</v>
      </c>
      <c r="B51">
        <v>45698</v>
      </c>
      <c r="C51" t="s">
        <v>46</v>
      </c>
      <c r="D51" t="s">
        <v>26</v>
      </c>
      <c r="E51" t="s">
        <v>171</v>
      </c>
      <c r="F51">
        <v>5845</v>
      </c>
      <c r="G51" t="s">
        <v>51</v>
      </c>
      <c r="H51" t="s">
        <v>43</v>
      </c>
      <c r="I51">
        <v>8469</v>
      </c>
      <c r="J51">
        <v>2624</v>
      </c>
      <c r="K51" t="s">
        <v>18</v>
      </c>
      <c r="L51" t="s">
        <v>172</v>
      </c>
    </row>
    <row r="52" spans="1:12" x14ac:dyDescent="0.35">
      <c r="A52" t="s">
        <v>173</v>
      </c>
      <c r="B52">
        <v>45691</v>
      </c>
      <c r="C52" t="s">
        <v>46</v>
      </c>
      <c r="D52" t="s">
        <v>132</v>
      </c>
      <c r="E52" t="s">
        <v>174</v>
      </c>
      <c r="F52">
        <v>24602</v>
      </c>
      <c r="G52" t="s">
        <v>51</v>
      </c>
      <c r="H52" t="s">
        <v>17</v>
      </c>
      <c r="I52">
        <v>25239</v>
      </c>
      <c r="J52">
        <v>637</v>
      </c>
      <c r="K52" t="s">
        <v>28</v>
      </c>
      <c r="L52" t="s">
        <v>175</v>
      </c>
    </row>
    <row r="53" spans="1:12" x14ac:dyDescent="0.35">
      <c r="A53" t="s">
        <v>176</v>
      </c>
      <c r="B53">
        <v>45693</v>
      </c>
      <c r="C53" t="s">
        <v>72</v>
      </c>
      <c r="D53" t="s">
        <v>31</v>
      </c>
      <c r="E53" t="s">
        <v>177</v>
      </c>
      <c r="F53">
        <v>166210</v>
      </c>
      <c r="G53" t="s">
        <v>16</v>
      </c>
      <c r="H53" t="s">
        <v>17</v>
      </c>
      <c r="I53">
        <v>176406</v>
      </c>
      <c r="J53">
        <v>10196</v>
      </c>
      <c r="K53" t="s">
        <v>39</v>
      </c>
      <c r="L53" t="s">
        <v>178</v>
      </c>
    </row>
    <row r="54" spans="1:12" x14ac:dyDescent="0.35">
      <c r="A54" t="s">
        <v>179</v>
      </c>
      <c r="B54">
        <v>45715</v>
      </c>
      <c r="C54" t="s">
        <v>72</v>
      </c>
      <c r="D54" t="s">
        <v>14</v>
      </c>
      <c r="E54" t="s">
        <v>89</v>
      </c>
      <c r="F54">
        <v>34390</v>
      </c>
      <c r="G54" t="s">
        <v>51</v>
      </c>
      <c r="H54" t="s">
        <v>17</v>
      </c>
      <c r="I54">
        <v>48913</v>
      </c>
      <c r="J54">
        <v>14523</v>
      </c>
      <c r="K54" t="s">
        <v>62</v>
      </c>
      <c r="L54" t="s">
        <v>180</v>
      </c>
    </row>
    <row r="55" spans="1:12" x14ac:dyDescent="0.35">
      <c r="A55" t="s">
        <v>181</v>
      </c>
      <c r="B55">
        <v>45709</v>
      </c>
      <c r="C55" t="s">
        <v>72</v>
      </c>
      <c r="D55" t="s">
        <v>58</v>
      </c>
      <c r="E55" t="s">
        <v>83</v>
      </c>
      <c r="F55">
        <v>59230</v>
      </c>
      <c r="G55" t="s">
        <v>23</v>
      </c>
      <c r="H55" t="s">
        <v>17</v>
      </c>
      <c r="I55">
        <v>61409</v>
      </c>
      <c r="J55">
        <v>2179</v>
      </c>
      <c r="K55" t="s">
        <v>86</v>
      </c>
      <c r="L55" t="s">
        <v>182</v>
      </c>
    </row>
    <row r="56" spans="1:12" x14ac:dyDescent="0.35">
      <c r="A56" t="s">
        <v>183</v>
      </c>
      <c r="B56">
        <v>45689</v>
      </c>
      <c r="C56" t="s">
        <v>92</v>
      </c>
      <c r="D56" t="s">
        <v>31</v>
      </c>
      <c r="E56" t="s">
        <v>184</v>
      </c>
      <c r="F56">
        <v>52232</v>
      </c>
      <c r="G56" t="s">
        <v>51</v>
      </c>
      <c r="H56" t="s">
        <v>43</v>
      </c>
      <c r="I56">
        <v>56928</v>
      </c>
      <c r="J56">
        <v>4696</v>
      </c>
      <c r="K56" t="s">
        <v>28</v>
      </c>
      <c r="L56" t="s">
        <v>185</v>
      </c>
    </row>
    <row r="57" spans="1:12" x14ac:dyDescent="0.35">
      <c r="A57" t="s">
        <v>186</v>
      </c>
      <c r="B57">
        <v>45704</v>
      </c>
      <c r="C57" t="s">
        <v>92</v>
      </c>
      <c r="D57" t="s">
        <v>14</v>
      </c>
      <c r="E57" t="s">
        <v>93</v>
      </c>
      <c r="F57">
        <v>24466</v>
      </c>
      <c r="G57" t="s">
        <v>23</v>
      </c>
      <c r="H57" t="s">
        <v>17</v>
      </c>
      <c r="I57">
        <v>36622</v>
      </c>
      <c r="J57">
        <v>12156</v>
      </c>
      <c r="K57" t="s">
        <v>116</v>
      </c>
      <c r="L57" t="s">
        <v>187</v>
      </c>
    </row>
    <row r="58" spans="1:12" x14ac:dyDescent="0.35">
      <c r="A58" t="s">
        <v>188</v>
      </c>
      <c r="B58">
        <v>45706</v>
      </c>
      <c r="C58" t="s">
        <v>92</v>
      </c>
      <c r="D58" t="s">
        <v>14</v>
      </c>
      <c r="E58" t="s">
        <v>93</v>
      </c>
      <c r="F58">
        <v>14638</v>
      </c>
      <c r="G58" t="s">
        <v>23</v>
      </c>
      <c r="H58" t="s">
        <v>43</v>
      </c>
      <c r="I58">
        <v>19074</v>
      </c>
      <c r="J58">
        <v>4436</v>
      </c>
      <c r="K58" t="s">
        <v>116</v>
      </c>
      <c r="L58" t="s">
        <v>189</v>
      </c>
    </row>
    <row r="59" spans="1:12" x14ac:dyDescent="0.35">
      <c r="A59" t="s">
        <v>190</v>
      </c>
      <c r="B59">
        <v>45695</v>
      </c>
      <c r="C59" t="s">
        <v>92</v>
      </c>
      <c r="D59" t="s">
        <v>26</v>
      </c>
      <c r="E59" t="s">
        <v>191</v>
      </c>
      <c r="F59">
        <v>7601</v>
      </c>
      <c r="G59" t="s">
        <v>23</v>
      </c>
      <c r="H59" t="s">
        <v>17</v>
      </c>
      <c r="I59">
        <v>8988</v>
      </c>
      <c r="J59">
        <v>1387</v>
      </c>
      <c r="K59" t="s">
        <v>39</v>
      </c>
      <c r="L59" t="s">
        <v>192</v>
      </c>
    </row>
    <row r="60" spans="1:12" x14ac:dyDescent="0.35">
      <c r="A60" t="s">
        <v>193</v>
      </c>
      <c r="B60">
        <v>45693</v>
      </c>
      <c r="C60" t="s">
        <v>92</v>
      </c>
      <c r="D60" t="s">
        <v>14</v>
      </c>
      <c r="E60" t="s">
        <v>93</v>
      </c>
      <c r="F60">
        <v>49693</v>
      </c>
      <c r="G60" t="s">
        <v>16</v>
      </c>
      <c r="H60" t="s">
        <v>17</v>
      </c>
      <c r="I60">
        <v>66877</v>
      </c>
      <c r="J60">
        <v>17184</v>
      </c>
      <c r="K60" t="s">
        <v>69</v>
      </c>
      <c r="L60" t="s">
        <v>194</v>
      </c>
    </row>
    <row r="61" spans="1:12" x14ac:dyDescent="0.35">
      <c r="A61" t="s">
        <v>195</v>
      </c>
      <c r="B61">
        <v>45698</v>
      </c>
      <c r="C61" t="s">
        <v>114</v>
      </c>
      <c r="D61" t="s">
        <v>54</v>
      </c>
      <c r="E61" t="s">
        <v>196</v>
      </c>
      <c r="F61">
        <v>12601</v>
      </c>
      <c r="G61" t="s">
        <v>38</v>
      </c>
      <c r="H61" t="s">
        <v>17</v>
      </c>
      <c r="I61">
        <v>16076</v>
      </c>
      <c r="J61">
        <v>3475</v>
      </c>
      <c r="K61" t="s">
        <v>86</v>
      </c>
      <c r="L61" t="s">
        <v>197</v>
      </c>
    </row>
    <row r="62" spans="1:12" x14ac:dyDescent="0.35">
      <c r="A62" t="s">
        <v>198</v>
      </c>
      <c r="B62">
        <v>45695</v>
      </c>
      <c r="C62" t="s">
        <v>114</v>
      </c>
      <c r="D62" t="s">
        <v>36</v>
      </c>
      <c r="E62" t="s">
        <v>129</v>
      </c>
      <c r="F62">
        <v>30304</v>
      </c>
      <c r="G62" t="s">
        <v>16</v>
      </c>
      <c r="H62" t="s">
        <v>17</v>
      </c>
      <c r="I62">
        <v>34093</v>
      </c>
      <c r="J62">
        <v>3789</v>
      </c>
      <c r="K62" t="s">
        <v>62</v>
      </c>
      <c r="L62" t="s">
        <v>199</v>
      </c>
    </row>
    <row r="63" spans="1:12" x14ac:dyDescent="0.35">
      <c r="A63" t="s">
        <v>200</v>
      </c>
      <c r="B63">
        <v>45712</v>
      </c>
      <c r="C63" t="s">
        <v>114</v>
      </c>
      <c r="D63" t="s">
        <v>132</v>
      </c>
      <c r="E63" t="s">
        <v>133</v>
      </c>
      <c r="F63">
        <v>8428</v>
      </c>
      <c r="G63" t="s">
        <v>38</v>
      </c>
      <c r="H63" t="s">
        <v>17</v>
      </c>
      <c r="I63">
        <v>11774</v>
      </c>
      <c r="J63">
        <v>3346</v>
      </c>
      <c r="K63" t="s">
        <v>69</v>
      </c>
      <c r="L63" t="s">
        <v>201</v>
      </c>
    </row>
    <row r="64" spans="1:12" x14ac:dyDescent="0.35">
      <c r="A64" t="s">
        <v>202</v>
      </c>
      <c r="B64">
        <v>45720</v>
      </c>
      <c r="C64" t="s">
        <v>13</v>
      </c>
      <c r="D64" t="s">
        <v>132</v>
      </c>
      <c r="E64" t="s">
        <v>142</v>
      </c>
      <c r="F64">
        <v>29735</v>
      </c>
      <c r="G64" t="s">
        <v>38</v>
      </c>
      <c r="H64" t="s">
        <v>17</v>
      </c>
      <c r="I64">
        <v>34474</v>
      </c>
      <c r="J64">
        <v>4739</v>
      </c>
      <c r="K64" t="s">
        <v>18</v>
      </c>
      <c r="L64" t="s">
        <v>203</v>
      </c>
    </row>
    <row r="65" spans="1:12" x14ac:dyDescent="0.35">
      <c r="A65" t="s">
        <v>204</v>
      </c>
      <c r="B65">
        <v>45743</v>
      </c>
      <c r="C65" t="s">
        <v>13</v>
      </c>
      <c r="D65" t="s">
        <v>54</v>
      </c>
      <c r="E65" t="s">
        <v>136</v>
      </c>
      <c r="F65">
        <v>7126</v>
      </c>
      <c r="G65" t="s">
        <v>23</v>
      </c>
      <c r="H65" t="s">
        <v>17</v>
      </c>
      <c r="I65">
        <v>10325</v>
      </c>
      <c r="J65">
        <v>3199</v>
      </c>
      <c r="K65" t="s">
        <v>39</v>
      </c>
      <c r="L65" t="s">
        <v>205</v>
      </c>
    </row>
    <row r="66" spans="1:12" x14ac:dyDescent="0.35">
      <c r="A66" t="s">
        <v>206</v>
      </c>
      <c r="B66">
        <v>45736</v>
      </c>
      <c r="C66" t="s">
        <v>13</v>
      </c>
      <c r="D66" t="s">
        <v>132</v>
      </c>
      <c r="E66" t="s">
        <v>142</v>
      </c>
      <c r="F66">
        <v>22230</v>
      </c>
      <c r="G66" t="s">
        <v>16</v>
      </c>
      <c r="H66" t="s">
        <v>17</v>
      </c>
      <c r="I66">
        <v>26785</v>
      </c>
      <c r="J66">
        <v>4555</v>
      </c>
      <c r="K66" t="s">
        <v>80</v>
      </c>
      <c r="L66" t="s">
        <v>207</v>
      </c>
    </row>
    <row r="67" spans="1:12" x14ac:dyDescent="0.35">
      <c r="A67" t="s">
        <v>208</v>
      </c>
      <c r="B67">
        <v>45722</v>
      </c>
      <c r="C67" t="s">
        <v>13</v>
      </c>
      <c r="D67" t="s">
        <v>21</v>
      </c>
      <c r="E67" t="s">
        <v>22</v>
      </c>
      <c r="F67">
        <v>94588</v>
      </c>
      <c r="G67" t="s">
        <v>16</v>
      </c>
      <c r="H67" t="s">
        <v>17</v>
      </c>
      <c r="I67">
        <v>114895</v>
      </c>
      <c r="J67">
        <v>20307</v>
      </c>
      <c r="K67" t="s">
        <v>62</v>
      </c>
      <c r="L67" t="s">
        <v>209</v>
      </c>
    </row>
    <row r="68" spans="1:12" x14ac:dyDescent="0.35">
      <c r="A68" t="s">
        <v>210</v>
      </c>
      <c r="B68">
        <v>45727</v>
      </c>
      <c r="C68" t="s">
        <v>13</v>
      </c>
      <c r="D68" t="s">
        <v>54</v>
      </c>
      <c r="E68" t="s">
        <v>136</v>
      </c>
      <c r="F68">
        <v>7094</v>
      </c>
      <c r="G68" t="s">
        <v>23</v>
      </c>
      <c r="H68" t="s">
        <v>17</v>
      </c>
      <c r="I68">
        <v>7608</v>
      </c>
      <c r="J68">
        <v>514</v>
      </c>
      <c r="K68" t="s">
        <v>33</v>
      </c>
      <c r="L68" t="s">
        <v>211</v>
      </c>
    </row>
    <row r="69" spans="1:12" x14ac:dyDescent="0.35">
      <c r="A69" t="s">
        <v>212</v>
      </c>
      <c r="B69">
        <v>45742</v>
      </c>
      <c r="C69" t="s">
        <v>13</v>
      </c>
      <c r="D69" t="s">
        <v>54</v>
      </c>
      <c r="E69" t="s">
        <v>136</v>
      </c>
      <c r="F69">
        <v>4502</v>
      </c>
      <c r="G69" t="s">
        <v>16</v>
      </c>
      <c r="H69" t="s">
        <v>17</v>
      </c>
      <c r="I69">
        <v>5550</v>
      </c>
      <c r="J69">
        <v>1048</v>
      </c>
      <c r="K69" t="s">
        <v>116</v>
      </c>
      <c r="L69" t="s">
        <v>213</v>
      </c>
    </row>
    <row r="70" spans="1:12" x14ac:dyDescent="0.35">
      <c r="A70" t="s">
        <v>214</v>
      </c>
      <c r="B70">
        <v>45733</v>
      </c>
      <c r="C70" t="s">
        <v>13</v>
      </c>
      <c r="D70" t="s">
        <v>36</v>
      </c>
      <c r="E70" t="s">
        <v>139</v>
      </c>
      <c r="F70">
        <v>42173</v>
      </c>
      <c r="G70" t="s">
        <v>51</v>
      </c>
      <c r="H70" t="s">
        <v>17</v>
      </c>
      <c r="I70">
        <v>54863</v>
      </c>
      <c r="J70">
        <v>12690</v>
      </c>
      <c r="K70" t="s">
        <v>116</v>
      </c>
      <c r="L70" t="s">
        <v>215</v>
      </c>
    </row>
    <row r="71" spans="1:12" x14ac:dyDescent="0.35">
      <c r="A71" t="s">
        <v>216</v>
      </c>
      <c r="B71">
        <v>45730</v>
      </c>
      <c r="C71" t="s">
        <v>21</v>
      </c>
      <c r="D71" t="s">
        <v>14</v>
      </c>
      <c r="E71" t="s">
        <v>42</v>
      </c>
      <c r="F71">
        <v>39614</v>
      </c>
      <c r="G71" t="s">
        <v>38</v>
      </c>
      <c r="H71" t="s">
        <v>17</v>
      </c>
      <c r="I71">
        <v>57295</v>
      </c>
      <c r="J71">
        <v>17681</v>
      </c>
      <c r="K71" t="s">
        <v>33</v>
      </c>
      <c r="L71" t="s">
        <v>217</v>
      </c>
    </row>
    <row r="72" spans="1:12" x14ac:dyDescent="0.35">
      <c r="A72" t="s">
        <v>218</v>
      </c>
      <c r="B72">
        <v>45732</v>
      </c>
      <c r="C72" t="s">
        <v>21</v>
      </c>
      <c r="D72" t="s">
        <v>26</v>
      </c>
      <c r="E72" t="s">
        <v>219</v>
      </c>
      <c r="F72">
        <v>906</v>
      </c>
      <c r="G72" t="s">
        <v>23</v>
      </c>
      <c r="H72" t="s">
        <v>17</v>
      </c>
      <c r="I72">
        <v>1270</v>
      </c>
      <c r="J72">
        <v>364</v>
      </c>
      <c r="K72" t="s">
        <v>86</v>
      </c>
      <c r="L72" t="s">
        <v>220</v>
      </c>
    </row>
    <row r="73" spans="1:12" x14ac:dyDescent="0.35">
      <c r="A73" t="s">
        <v>221</v>
      </c>
      <c r="B73">
        <v>45727</v>
      </c>
      <c r="C73" t="s">
        <v>21</v>
      </c>
      <c r="D73" t="s">
        <v>14</v>
      </c>
      <c r="E73" t="s">
        <v>42</v>
      </c>
      <c r="F73">
        <v>31673</v>
      </c>
      <c r="G73" t="s">
        <v>38</v>
      </c>
      <c r="H73" t="s">
        <v>17</v>
      </c>
      <c r="I73">
        <v>34383</v>
      </c>
      <c r="J73">
        <v>2710</v>
      </c>
      <c r="K73" t="s">
        <v>28</v>
      </c>
      <c r="L73" t="s">
        <v>222</v>
      </c>
    </row>
    <row r="74" spans="1:12" x14ac:dyDescent="0.35">
      <c r="A74" t="s">
        <v>223</v>
      </c>
      <c r="B74">
        <v>45744</v>
      </c>
      <c r="C74" t="s">
        <v>21</v>
      </c>
      <c r="D74" t="s">
        <v>132</v>
      </c>
      <c r="E74" t="s">
        <v>153</v>
      </c>
      <c r="F74">
        <v>3584</v>
      </c>
      <c r="G74" t="s">
        <v>23</v>
      </c>
      <c r="H74" t="s">
        <v>17</v>
      </c>
      <c r="I74">
        <v>4737</v>
      </c>
      <c r="J74">
        <v>1153</v>
      </c>
      <c r="K74" t="s">
        <v>66</v>
      </c>
      <c r="L74" t="s">
        <v>224</v>
      </c>
    </row>
    <row r="75" spans="1:12" x14ac:dyDescent="0.35">
      <c r="A75" t="s">
        <v>225</v>
      </c>
      <c r="B75">
        <v>45733</v>
      </c>
      <c r="C75" t="s">
        <v>21</v>
      </c>
      <c r="D75" t="s">
        <v>36</v>
      </c>
      <c r="E75" t="s">
        <v>37</v>
      </c>
      <c r="F75">
        <v>9850</v>
      </c>
      <c r="G75" t="s">
        <v>23</v>
      </c>
      <c r="H75" t="s">
        <v>17</v>
      </c>
      <c r="I75">
        <v>14262</v>
      </c>
      <c r="J75">
        <v>4412</v>
      </c>
      <c r="K75" t="s">
        <v>80</v>
      </c>
      <c r="L75" t="s">
        <v>226</v>
      </c>
    </row>
    <row r="76" spans="1:12" x14ac:dyDescent="0.35">
      <c r="A76" t="s">
        <v>227</v>
      </c>
      <c r="B76">
        <v>45730</v>
      </c>
      <c r="C76" t="s">
        <v>21</v>
      </c>
      <c r="D76" t="s">
        <v>31</v>
      </c>
      <c r="E76" t="s">
        <v>32</v>
      </c>
      <c r="F76">
        <v>34935</v>
      </c>
      <c r="G76" t="s">
        <v>16</v>
      </c>
      <c r="H76" t="s">
        <v>17</v>
      </c>
      <c r="I76">
        <v>49430</v>
      </c>
      <c r="J76">
        <v>14495</v>
      </c>
      <c r="K76" t="s">
        <v>33</v>
      </c>
      <c r="L76" t="s">
        <v>228</v>
      </c>
    </row>
    <row r="77" spans="1:12" x14ac:dyDescent="0.35">
      <c r="A77" t="s">
        <v>229</v>
      </c>
      <c r="B77">
        <v>45727</v>
      </c>
      <c r="C77" t="s">
        <v>21</v>
      </c>
      <c r="D77" t="s">
        <v>36</v>
      </c>
      <c r="E77" t="s">
        <v>37</v>
      </c>
      <c r="F77">
        <v>15455</v>
      </c>
      <c r="G77" t="s">
        <v>38</v>
      </c>
      <c r="H77" t="s">
        <v>43</v>
      </c>
      <c r="I77">
        <v>19755</v>
      </c>
      <c r="J77">
        <v>4300</v>
      </c>
      <c r="K77" t="s">
        <v>80</v>
      </c>
      <c r="L77" t="s">
        <v>230</v>
      </c>
    </row>
    <row r="78" spans="1:12" x14ac:dyDescent="0.35">
      <c r="A78" t="s">
        <v>231</v>
      </c>
      <c r="B78">
        <v>45732</v>
      </c>
      <c r="C78" t="s">
        <v>21</v>
      </c>
      <c r="D78" t="s">
        <v>132</v>
      </c>
      <c r="E78" t="s">
        <v>153</v>
      </c>
      <c r="F78">
        <v>25821</v>
      </c>
      <c r="G78" t="s">
        <v>23</v>
      </c>
      <c r="H78" t="s">
        <v>17</v>
      </c>
      <c r="I78">
        <v>38525</v>
      </c>
      <c r="J78">
        <v>12704</v>
      </c>
      <c r="K78" t="s">
        <v>28</v>
      </c>
      <c r="L78" t="s">
        <v>232</v>
      </c>
    </row>
    <row r="79" spans="1:12" x14ac:dyDescent="0.35">
      <c r="A79" t="s">
        <v>233</v>
      </c>
      <c r="B79">
        <v>45721</v>
      </c>
      <c r="C79" t="s">
        <v>46</v>
      </c>
      <c r="D79" t="s">
        <v>26</v>
      </c>
      <c r="E79" t="s">
        <v>171</v>
      </c>
      <c r="F79">
        <v>891</v>
      </c>
      <c r="G79" t="s">
        <v>23</v>
      </c>
      <c r="H79" t="s">
        <v>17</v>
      </c>
      <c r="I79">
        <v>1259</v>
      </c>
      <c r="J79">
        <v>368</v>
      </c>
      <c r="K79" t="s">
        <v>86</v>
      </c>
      <c r="L79" t="s">
        <v>234</v>
      </c>
    </row>
    <row r="80" spans="1:12" x14ac:dyDescent="0.35">
      <c r="A80" t="s">
        <v>235</v>
      </c>
      <c r="B80">
        <v>45742</v>
      </c>
      <c r="C80" t="s">
        <v>46</v>
      </c>
      <c r="D80" t="s">
        <v>21</v>
      </c>
      <c r="E80" t="s">
        <v>236</v>
      </c>
      <c r="F80">
        <v>33073</v>
      </c>
      <c r="G80" t="s">
        <v>16</v>
      </c>
      <c r="H80" t="s">
        <v>43</v>
      </c>
      <c r="I80">
        <v>36234</v>
      </c>
      <c r="J80">
        <v>3161</v>
      </c>
      <c r="K80" t="s">
        <v>80</v>
      </c>
      <c r="L80" t="s">
        <v>237</v>
      </c>
    </row>
    <row r="81" spans="1:12" x14ac:dyDescent="0.35">
      <c r="A81" t="s">
        <v>238</v>
      </c>
      <c r="B81">
        <v>45718</v>
      </c>
      <c r="C81" t="s">
        <v>46</v>
      </c>
      <c r="D81" t="s">
        <v>132</v>
      </c>
      <c r="E81" t="s">
        <v>174</v>
      </c>
      <c r="F81">
        <v>28721</v>
      </c>
      <c r="G81" t="s">
        <v>16</v>
      </c>
      <c r="H81" t="s">
        <v>17</v>
      </c>
      <c r="I81">
        <v>29340</v>
      </c>
      <c r="J81">
        <v>619</v>
      </c>
      <c r="K81" t="s">
        <v>66</v>
      </c>
      <c r="L81" t="s">
        <v>239</v>
      </c>
    </row>
    <row r="82" spans="1:12" x14ac:dyDescent="0.35">
      <c r="A82" t="s">
        <v>240</v>
      </c>
      <c r="B82">
        <v>45721</v>
      </c>
      <c r="C82" t="s">
        <v>72</v>
      </c>
      <c r="D82" t="s">
        <v>36</v>
      </c>
      <c r="E82" t="s">
        <v>76</v>
      </c>
      <c r="F82">
        <v>40377</v>
      </c>
      <c r="G82" t="s">
        <v>38</v>
      </c>
      <c r="H82" t="s">
        <v>17</v>
      </c>
      <c r="I82">
        <v>54482</v>
      </c>
      <c r="J82">
        <v>14105</v>
      </c>
      <c r="K82" t="s">
        <v>39</v>
      </c>
      <c r="L82" t="s">
        <v>241</v>
      </c>
    </row>
    <row r="83" spans="1:12" x14ac:dyDescent="0.35">
      <c r="A83" t="s">
        <v>242</v>
      </c>
      <c r="B83">
        <v>45738</v>
      </c>
      <c r="C83" t="s">
        <v>72</v>
      </c>
      <c r="D83" t="s">
        <v>21</v>
      </c>
      <c r="E83" t="s">
        <v>73</v>
      </c>
      <c r="F83">
        <v>118342</v>
      </c>
      <c r="G83" t="s">
        <v>23</v>
      </c>
      <c r="H83" t="s">
        <v>43</v>
      </c>
      <c r="I83">
        <v>156028</v>
      </c>
      <c r="J83">
        <v>37686</v>
      </c>
      <c r="K83" t="s">
        <v>116</v>
      </c>
      <c r="L83" t="s">
        <v>243</v>
      </c>
    </row>
    <row r="84" spans="1:12" x14ac:dyDescent="0.35">
      <c r="A84" t="s">
        <v>244</v>
      </c>
      <c r="B84">
        <v>45725</v>
      </c>
      <c r="C84" t="s">
        <v>72</v>
      </c>
      <c r="D84" t="s">
        <v>31</v>
      </c>
      <c r="E84" t="s">
        <v>177</v>
      </c>
      <c r="F84">
        <v>183347</v>
      </c>
      <c r="G84" t="s">
        <v>16</v>
      </c>
      <c r="H84" t="s">
        <v>17</v>
      </c>
      <c r="I84">
        <v>228277</v>
      </c>
      <c r="J84">
        <v>44930</v>
      </c>
      <c r="K84" t="s">
        <v>18</v>
      </c>
      <c r="L84" t="s">
        <v>245</v>
      </c>
    </row>
    <row r="85" spans="1:12" x14ac:dyDescent="0.35">
      <c r="A85" t="s">
        <v>246</v>
      </c>
      <c r="B85">
        <v>45719</v>
      </c>
      <c r="C85" t="s">
        <v>72</v>
      </c>
      <c r="D85" t="s">
        <v>132</v>
      </c>
      <c r="E85" t="s">
        <v>247</v>
      </c>
      <c r="F85">
        <v>28106</v>
      </c>
      <c r="G85" t="s">
        <v>16</v>
      </c>
      <c r="H85" t="s">
        <v>43</v>
      </c>
      <c r="I85">
        <v>32269</v>
      </c>
      <c r="J85">
        <v>4163</v>
      </c>
      <c r="K85" t="s">
        <v>18</v>
      </c>
      <c r="L85" t="s">
        <v>248</v>
      </c>
    </row>
    <row r="86" spans="1:12" x14ac:dyDescent="0.35">
      <c r="A86" t="s">
        <v>249</v>
      </c>
      <c r="B86">
        <v>45732</v>
      </c>
      <c r="C86" t="s">
        <v>72</v>
      </c>
      <c r="D86" t="s">
        <v>26</v>
      </c>
      <c r="E86" t="s">
        <v>250</v>
      </c>
      <c r="F86">
        <v>6193</v>
      </c>
      <c r="G86" t="s">
        <v>23</v>
      </c>
      <c r="H86" t="s">
        <v>17</v>
      </c>
      <c r="I86">
        <v>6435</v>
      </c>
      <c r="J86">
        <v>242</v>
      </c>
      <c r="K86" t="s">
        <v>80</v>
      </c>
      <c r="L86" t="s">
        <v>251</v>
      </c>
    </row>
    <row r="87" spans="1:12" x14ac:dyDescent="0.35">
      <c r="A87" t="s">
        <v>252</v>
      </c>
      <c r="B87">
        <v>45723</v>
      </c>
      <c r="C87" t="s">
        <v>72</v>
      </c>
      <c r="D87" t="s">
        <v>26</v>
      </c>
      <c r="E87" t="s">
        <v>250</v>
      </c>
      <c r="F87">
        <v>4335</v>
      </c>
      <c r="G87" t="s">
        <v>38</v>
      </c>
      <c r="H87" t="s">
        <v>17</v>
      </c>
      <c r="I87">
        <v>6109</v>
      </c>
      <c r="J87">
        <v>1774</v>
      </c>
      <c r="K87" t="s">
        <v>33</v>
      </c>
      <c r="L87" t="s">
        <v>253</v>
      </c>
    </row>
    <row r="88" spans="1:12" x14ac:dyDescent="0.35">
      <c r="A88" t="s">
        <v>254</v>
      </c>
      <c r="B88">
        <v>45739</v>
      </c>
      <c r="C88" t="s">
        <v>72</v>
      </c>
      <c r="D88" t="s">
        <v>54</v>
      </c>
      <c r="E88" t="s">
        <v>79</v>
      </c>
      <c r="F88">
        <v>13459</v>
      </c>
      <c r="G88" t="s">
        <v>38</v>
      </c>
      <c r="H88" t="s">
        <v>17</v>
      </c>
      <c r="I88">
        <v>19814</v>
      </c>
      <c r="J88">
        <v>6355</v>
      </c>
      <c r="K88" t="s">
        <v>116</v>
      </c>
      <c r="L88" t="s">
        <v>255</v>
      </c>
    </row>
    <row r="89" spans="1:12" x14ac:dyDescent="0.35">
      <c r="A89" t="s">
        <v>256</v>
      </c>
      <c r="B89">
        <v>45729</v>
      </c>
      <c r="C89" t="s">
        <v>72</v>
      </c>
      <c r="D89" t="s">
        <v>21</v>
      </c>
      <c r="E89" t="s">
        <v>73</v>
      </c>
      <c r="F89">
        <v>67353</v>
      </c>
      <c r="G89" t="s">
        <v>38</v>
      </c>
      <c r="H89" t="s">
        <v>43</v>
      </c>
      <c r="I89">
        <v>98224</v>
      </c>
      <c r="J89">
        <v>30871</v>
      </c>
      <c r="K89" t="s">
        <v>116</v>
      </c>
      <c r="L89" t="s">
        <v>257</v>
      </c>
    </row>
    <row r="90" spans="1:12" x14ac:dyDescent="0.35">
      <c r="A90" t="s">
        <v>258</v>
      </c>
      <c r="B90">
        <v>45722</v>
      </c>
      <c r="C90" t="s">
        <v>92</v>
      </c>
      <c r="D90" t="s">
        <v>26</v>
      </c>
      <c r="E90" t="s">
        <v>191</v>
      </c>
      <c r="F90">
        <v>1062</v>
      </c>
      <c r="G90" t="s">
        <v>16</v>
      </c>
      <c r="H90" t="s">
        <v>43</v>
      </c>
      <c r="I90">
        <v>1210</v>
      </c>
      <c r="J90">
        <v>148</v>
      </c>
      <c r="K90" t="s">
        <v>62</v>
      </c>
      <c r="L90" t="s">
        <v>259</v>
      </c>
    </row>
    <row r="91" spans="1:12" x14ac:dyDescent="0.35">
      <c r="A91" t="s">
        <v>260</v>
      </c>
      <c r="B91">
        <v>45724</v>
      </c>
      <c r="C91" t="s">
        <v>92</v>
      </c>
      <c r="D91" t="s">
        <v>31</v>
      </c>
      <c r="E91" t="s">
        <v>184</v>
      </c>
      <c r="F91">
        <v>38094</v>
      </c>
      <c r="G91" t="s">
        <v>23</v>
      </c>
      <c r="H91" t="s">
        <v>17</v>
      </c>
      <c r="I91">
        <v>52285</v>
      </c>
      <c r="J91">
        <v>14191</v>
      </c>
      <c r="K91" t="s">
        <v>39</v>
      </c>
      <c r="L91" t="s">
        <v>261</v>
      </c>
    </row>
    <row r="92" spans="1:12" x14ac:dyDescent="0.35">
      <c r="A92" t="s">
        <v>262</v>
      </c>
      <c r="B92">
        <v>45731</v>
      </c>
      <c r="C92" t="s">
        <v>92</v>
      </c>
      <c r="D92" t="s">
        <v>58</v>
      </c>
      <c r="E92" t="s">
        <v>99</v>
      </c>
      <c r="F92">
        <v>67421</v>
      </c>
      <c r="G92" t="s">
        <v>16</v>
      </c>
      <c r="H92" t="s">
        <v>17</v>
      </c>
      <c r="I92">
        <v>89733</v>
      </c>
      <c r="J92">
        <v>22312</v>
      </c>
      <c r="K92" t="s">
        <v>62</v>
      </c>
      <c r="L92" t="s">
        <v>263</v>
      </c>
    </row>
    <row r="93" spans="1:12" x14ac:dyDescent="0.35">
      <c r="A93" t="s">
        <v>264</v>
      </c>
      <c r="B93">
        <v>45721</v>
      </c>
      <c r="C93" t="s">
        <v>92</v>
      </c>
      <c r="D93" t="s">
        <v>14</v>
      </c>
      <c r="E93" t="s">
        <v>93</v>
      </c>
      <c r="F93">
        <v>25227</v>
      </c>
      <c r="G93" t="s">
        <v>38</v>
      </c>
      <c r="H93" t="s">
        <v>43</v>
      </c>
      <c r="I93">
        <v>30669</v>
      </c>
      <c r="J93">
        <v>5442</v>
      </c>
      <c r="K93" t="s">
        <v>86</v>
      </c>
      <c r="L93" t="s">
        <v>265</v>
      </c>
    </row>
    <row r="94" spans="1:12" x14ac:dyDescent="0.35">
      <c r="A94" t="s">
        <v>266</v>
      </c>
      <c r="B94">
        <v>45728</v>
      </c>
      <c r="C94" t="s">
        <v>92</v>
      </c>
      <c r="D94" t="s">
        <v>54</v>
      </c>
      <c r="E94" t="s">
        <v>96</v>
      </c>
      <c r="F94">
        <v>1870</v>
      </c>
      <c r="G94" t="s">
        <v>23</v>
      </c>
      <c r="H94" t="s">
        <v>17</v>
      </c>
      <c r="I94">
        <v>2283</v>
      </c>
      <c r="J94">
        <v>413</v>
      </c>
      <c r="K94" t="s">
        <v>86</v>
      </c>
      <c r="L94" t="s">
        <v>267</v>
      </c>
    </row>
    <row r="95" spans="1:12" x14ac:dyDescent="0.35">
      <c r="A95" t="s">
        <v>268</v>
      </c>
      <c r="B95">
        <v>45722</v>
      </c>
      <c r="C95" t="s">
        <v>92</v>
      </c>
      <c r="D95" t="s">
        <v>26</v>
      </c>
      <c r="E95" t="s">
        <v>191</v>
      </c>
      <c r="F95">
        <v>2908</v>
      </c>
      <c r="G95" t="s">
        <v>16</v>
      </c>
      <c r="H95" t="s">
        <v>43</v>
      </c>
      <c r="I95">
        <v>3183</v>
      </c>
      <c r="J95">
        <v>275</v>
      </c>
      <c r="K95" t="s">
        <v>28</v>
      </c>
      <c r="L95" t="s">
        <v>269</v>
      </c>
    </row>
    <row r="96" spans="1:12" x14ac:dyDescent="0.35">
      <c r="A96" t="s">
        <v>270</v>
      </c>
      <c r="B96">
        <v>45737</v>
      </c>
      <c r="C96" t="s">
        <v>114</v>
      </c>
      <c r="D96" t="s">
        <v>36</v>
      </c>
      <c r="E96" t="s">
        <v>129</v>
      </c>
      <c r="F96">
        <v>19311</v>
      </c>
      <c r="G96" t="s">
        <v>51</v>
      </c>
      <c r="H96" t="s">
        <v>17</v>
      </c>
      <c r="I96">
        <v>25888</v>
      </c>
      <c r="J96">
        <v>6577</v>
      </c>
      <c r="K96" t="s">
        <v>18</v>
      </c>
      <c r="L96" t="s">
        <v>271</v>
      </c>
    </row>
    <row r="97" spans="1:12" x14ac:dyDescent="0.35">
      <c r="A97" t="s">
        <v>272</v>
      </c>
      <c r="B97">
        <v>45724</v>
      </c>
      <c r="C97" t="s">
        <v>114</v>
      </c>
      <c r="D97" t="s">
        <v>58</v>
      </c>
      <c r="E97" t="s">
        <v>124</v>
      </c>
      <c r="F97">
        <v>9677</v>
      </c>
      <c r="G97" t="s">
        <v>23</v>
      </c>
      <c r="H97" t="s">
        <v>43</v>
      </c>
      <c r="I97">
        <v>12460</v>
      </c>
      <c r="J97">
        <v>2783</v>
      </c>
      <c r="K97" t="s">
        <v>62</v>
      </c>
      <c r="L97" t="s">
        <v>273</v>
      </c>
    </row>
    <row r="98" spans="1:12" x14ac:dyDescent="0.35">
      <c r="A98" t="s">
        <v>274</v>
      </c>
      <c r="B98">
        <v>45739</v>
      </c>
      <c r="C98" t="s">
        <v>114</v>
      </c>
      <c r="D98" t="s">
        <v>26</v>
      </c>
      <c r="E98" t="s">
        <v>119</v>
      </c>
      <c r="F98">
        <v>7730</v>
      </c>
      <c r="G98" t="s">
        <v>38</v>
      </c>
      <c r="H98" t="s">
        <v>17</v>
      </c>
      <c r="I98">
        <v>10127</v>
      </c>
      <c r="J98">
        <v>2397</v>
      </c>
      <c r="K98" t="s">
        <v>86</v>
      </c>
      <c r="L98" t="s">
        <v>275</v>
      </c>
    </row>
    <row r="99" spans="1:12" x14ac:dyDescent="0.35">
      <c r="A99" t="s">
        <v>276</v>
      </c>
      <c r="B99">
        <v>45739</v>
      </c>
      <c r="C99" t="s">
        <v>114</v>
      </c>
      <c r="D99" t="s">
        <v>26</v>
      </c>
      <c r="E99" t="s">
        <v>119</v>
      </c>
      <c r="F99">
        <v>6512</v>
      </c>
      <c r="G99" t="s">
        <v>16</v>
      </c>
      <c r="H99" t="s">
        <v>17</v>
      </c>
      <c r="I99">
        <v>9195</v>
      </c>
      <c r="J99">
        <v>2683</v>
      </c>
      <c r="K99" t="s">
        <v>18</v>
      </c>
      <c r="L99" t="s">
        <v>277</v>
      </c>
    </row>
    <row r="100" spans="1:12" x14ac:dyDescent="0.35">
      <c r="A100" t="s">
        <v>278</v>
      </c>
      <c r="B100">
        <v>45739</v>
      </c>
      <c r="C100" t="s">
        <v>114</v>
      </c>
      <c r="D100" t="s">
        <v>26</v>
      </c>
      <c r="E100" t="s">
        <v>119</v>
      </c>
      <c r="F100">
        <v>3347</v>
      </c>
      <c r="G100" t="s">
        <v>16</v>
      </c>
      <c r="H100" t="s">
        <v>17</v>
      </c>
      <c r="I100">
        <v>4413</v>
      </c>
      <c r="J100">
        <v>1066</v>
      </c>
      <c r="K100" t="s">
        <v>62</v>
      </c>
      <c r="L100" t="s">
        <v>279</v>
      </c>
    </row>
    <row r="101" spans="1:12" x14ac:dyDescent="0.35">
      <c r="A101" t="s">
        <v>280</v>
      </c>
      <c r="B101">
        <v>45739</v>
      </c>
      <c r="C101" t="s">
        <v>114</v>
      </c>
      <c r="D101" t="s">
        <v>31</v>
      </c>
      <c r="E101" t="s">
        <v>281</v>
      </c>
      <c r="F101">
        <v>90038</v>
      </c>
      <c r="G101" t="s">
        <v>51</v>
      </c>
      <c r="H101" t="s">
        <v>17</v>
      </c>
      <c r="I101">
        <v>128420</v>
      </c>
      <c r="J101">
        <v>38382</v>
      </c>
      <c r="K101" t="s">
        <v>33</v>
      </c>
      <c r="L101" t="s">
        <v>282</v>
      </c>
    </row>
    <row r="102" spans="1:12" x14ac:dyDescent="0.35">
      <c r="A102" t="s">
        <v>283</v>
      </c>
      <c r="B102">
        <v>45731</v>
      </c>
      <c r="C102" t="s">
        <v>114</v>
      </c>
      <c r="D102" t="s">
        <v>14</v>
      </c>
      <c r="E102" t="s">
        <v>284</v>
      </c>
      <c r="F102">
        <v>12921</v>
      </c>
      <c r="G102" t="s">
        <v>51</v>
      </c>
      <c r="H102" t="s">
        <v>17</v>
      </c>
      <c r="I102">
        <v>14131</v>
      </c>
      <c r="J102">
        <v>1210</v>
      </c>
      <c r="K102" t="s">
        <v>69</v>
      </c>
      <c r="L102" t="s">
        <v>285</v>
      </c>
    </row>
    <row r="103" spans="1:12" x14ac:dyDescent="0.35">
      <c r="A103" t="s">
        <v>286</v>
      </c>
      <c r="B103">
        <v>45750</v>
      </c>
      <c r="C103" t="s">
        <v>13</v>
      </c>
      <c r="D103" t="s">
        <v>58</v>
      </c>
      <c r="E103" t="s">
        <v>287</v>
      </c>
      <c r="F103">
        <v>28267</v>
      </c>
      <c r="G103" t="s">
        <v>51</v>
      </c>
      <c r="H103" t="s">
        <v>17</v>
      </c>
      <c r="I103">
        <v>42038</v>
      </c>
      <c r="J103">
        <v>13771</v>
      </c>
      <c r="K103" t="s">
        <v>28</v>
      </c>
      <c r="L103" t="s">
        <v>288</v>
      </c>
    </row>
    <row r="104" spans="1:12" x14ac:dyDescent="0.35">
      <c r="A104" t="s">
        <v>289</v>
      </c>
      <c r="B104">
        <v>45775</v>
      </c>
      <c r="C104" t="s">
        <v>13</v>
      </c>
      <c r="D104" t="s">
        <v>31</v>
      </c>
      <c r="E104" t="s">
        <v>290</v>
      </c>
      <c r="F104">
        <v>162871</v>
      </c>
      <c r="G104" t="s">
        <v>51</v>
      </c>
      <c r="H104" t="s">
        <v>17</v>
      </c>
      <c r="I104">
        <v>162953</v>
      </c>
      <c r="J104">
        <v>82</v>
      </c>
      <c r="K104" t="s">
        <v>62</v>
      </c>
      <c r="L104" t="s">
        <v>291</v>
      </c>
    </row>
    <row r="105" spans="1:12" x14ac:dyDescent="0.35">
      <c r="A105" t="s">
        <v>292</v>
      </c>
      <c r="B105">
        <v>45757</v>
      </c>
      <c r="C105" t="s">
        <v>13</v>
      </c>
      <c r="D105" t="s">
        <v>58</v>
      </c>
      <c r="E105" t="s">
        <v>287</v>
      </c>
      <c r="F105">
        <v>79352</v>
      </c>
      <c r="G105" t="s">
        <v>51</v>
      </c>
      <c r="H105" t="s">
        <v>43</v>
      </c>
      <c r="I105">
        <v>106334</v>
      </c>
      <c r="J105">
        <v>26982</v>
      </c>
      <c r="K105" t="s">
        <v>116</v>
      </c>
      <c r="L105" t="s">
        <v>293</v>
      </c>
    </row>
    <row r="106" spans="1:12" x14ac:dyDescent="0.35">
      <c r="A106" t="s">
        <v>294</v>
      </c>
      <c r="B106">
        <v>45773</v>
      </c>
      <c r="C106" t="s">
        <v>13</v>
      </c>
      <c r="D106" t="s">
        <v>21</v>
      </c>
      <c r="E106" t="s">
        <v>22</v>
      </c>
      <c r="F106">
        <v>34617</v>
      </c>
      <c r="G106" t="s">
        <v>16</v>
      </c>
      <c r="H106" t="s">
        <v>17</v>
      </c>
      <c r="I106">
        <v>36348</v>
      </c>
      <c r="J106">
        <v>1731</v>
      </c>
      <c r="K106" t="s">
        <v>69</v>
      </c>
      <c r="L106" t="s">
        <v>295</v>
      </c>
    </row>
    <row r="107" spans="1:12" x14ac:dyDescent="0.35">
      <c r="A107" t="s">
        <v>296</v>
      </c>
      <c r="B107">
        <v>45759</v>
      </c>
      <c r="C107" t="s">
        <v>13</v>
      </c>
      <c r="D107" t="s">
        <v>132</v>
      </c>
      <c r="E107" t="s">
        <v>142</v>
      </c>
      <c r="F107">
        <v>24738</v>
      </c>
      <c r="G107" t="s">
        <v>38</v>
      </c>
      <c r="H107" t="s">
        <v>17</v>
      </c>
      <c r="I107">
        <v>30755</v>
      </c>
      <c r="J107">
        <v>6017</v>
      </c>
      <c r="K107" t="s">
        <v>33</v>
      </c>
      <c r="L107" t="s">
        <v>297</v>
      </c>
    </row>
    <row r="108" spans="1:12" x14ac:dyDescent="0.35">
      <c r="A108" t="s">
        <v>298</v>
      </c>
      <c r="B108">
        <v>45775</v>
      </c>
      <c r="C108" t="s">
        <v>21</v>
      </c>
      <c r="D108" t="s">
        <v>54</v>
      </c>
      <c r="E108" t="s">
        <v>158</v>
      </c>
      <c r="F108">
        <v>9484</v>
      </c>
      <c r="G108" t="s">
        <v>38</v>
      </c>
      <c r="H108" t="s">
        <v>17</v>
      </c>
      <c r="I108">
        <v>13157</v>
      </c>
      <c r="J108">
        <v>3673</v>
      </c>
      <c r="K108" t="s">
        <v>66</v>
      </c>
      <c r="L108" t="s">
        <v>299</v>
      </c>
    </row>
    <row r="109" spans="1:12" x14ac:dyDescent="0.35">
      <c r="A109" t="s">
        <v>300</v>
      </c>
      <c r="B109">
        <v>45775</v>
      </c>
      <c r="C109" t="s">
        <v>21</v>
      </c>
      <c r="D109" t="s">
        <v>58</v>
      </c>
      <c r="E109" t="s">
        <v>301</v>
      </c>
      <c r="F109">
        <v>24385</v>
      </c>
      <c r="G109" t="s">
        <v>51</v>
      </c>
      <c r="H109" t="s">
        <v>17</v>
      </c>
      <c r="I109">
        <v>36317</v>
      </c>
      <c r="J109">
        <v>11932</v>
      </c>
      <c r="K109" t="s">
        <v>33</v>
      </c>
      <c r="L109" t="s">
        <v>302</v>
      </c>
    </row>
    <row r="110" spans="1:12" x14ac:dyDescent="0.35">
      <c r="A110" t="s">
        <v>303</v>
      </c>
      <c r="B110">
        <v>45770</v>
      </c>
      <c r="C110" t="s">
        <v>21</v>
      </c>
      <c r="D110" t="s">
        <v>58</v>
      </c>
      <c r="E110" t="s">
        <v>301</v>
      </c>
      <c r="F110">
        <v>37029</v>
      </c>
      <c r="G110" t="s">
        <v>38</v>
      </c>
      <c r="H110" t="s">
        <v>17</v>
      </c>
      <c r="I110">
        <v>47723</v>
      </c>
      <c r="J110">
        <v>10694</v>
      </c>
      <c r="K110" t="s">
        <v>18</v>
      </c>
      <c r="L110" t="s">
        <v>304</v>
      </c>
    </row>
    <row r="111" spans="1:12" x14ac:dyDescent="0.35">
      <c r="A111" t="s">
        <v>305</v>
      </c>
      <c r="B111">
        <v>45756</v>
      </c>
      <c r="C111" t="s">
        <v>21</v>
      </c>
      <c r="D111" t="s">
        <v>26</v>
      </c>
      <c r="E111" t="s">
        <v>219</v>
      </c>
      <c r="F111">
        <v>3594</v>
      </c>
      <c r="G111" t="s">
        <v>38</v>
      </c>
      <c r="H111" t="s">
        <v>43</v>
      </c>
      <c r="I111">
        <v>4742</v>
      </c>
      <c r="J111">
        <v>1148</v>
      </c>
      <c r="K111" t="s">
        <v>39</v>
      </c>
      <c r="L111" t="s">
        <v>306</v>
      </c>
    </row>
    <row r="112" spans="1:12" x14ac:dyDescent="0.35">
      <c r="A112" t="s">
        <v>307</v>
      </c>
      <c r="B112">
        <v>45761</v>
      </c>
      <c r="C112" t="s">
        <v>21</v>
      </c>
      <c r="D112" t="s">
        <v>54</v>
      </c>
      <c r="E112" t="s">
        <v>158</v>
      </c>
      <c r="F112">
        <v>6426</v>
      </c>
      <c r="G112" t="s">
        <v>16</v>
      </c>
      <c r="H112" t="s">
        <v>17</v>
      </c>
      <c r="I112">
        <v>7682</v>
      </c>
      <c r="J112">
        <v>1256</v>
      </c>
      <c r="K112" t="s">
        <v>18</v>
      </c>
      <c r="L112" t="s">
        <v>308</v>
      </c>
    </row>
    <row r="113" spans="1:12" x14ac:dyDescent="0.35">
      <c r="A113" t="s">
        <v>309</v>
      </c>
      <c r="B113">
        <v>45761</v>
      </c>
      <c r="C113" t="s">
        <v>21</v>
      </c>
      <c r="D113" t="s">
        <v>54</v>
      </c>
      <c r="E113" t="s">
        <v>158</v>
      </c>
      <c r="F113">
        <v>14667</v>
      </c>
      <c r="G113" t="s">
        <v>38</v>
      </c>
      <c r="H113" t="s">
        <v>43</v>
      </c>
      <c r="I113">
        <v>19158</v>
      </c>
      <c r="J113">
        <v>4491</v>
      </c>
      <c r="K113" t="s">
        <v>33</v>
      </c>
      <c r="L113" t="s">
        <v>310</v>
      </c>
    </row>
    <row r="114" spans="1:12" x14ac:dyDescent="0.35">
      <c r="A114" t="s">
        <v>311</v>
      </c>
      <c r="B114">
        <v>45769</v>
      </c>
      <c r="C114" t="s">
        <v>21</v>
      </c>
      <c r="D114" t="s">
        <v>14</v>
      </c>
      <c r="E114" t="s">
        <v>42</v>
      </c>
      <c r="F114">
        <v>2546</v>
      </c>
      <c r="G114" t="s">
        <v>51</v>
      </c>
      <c r="H114" t="s">
        <v>17</v>
      </c>
      <c r="I114">
        <v>3181</v>
      </c>
      <c r="J114">
        <v>635</v>
      </c>
      <c r="K114" t="s">
        <v>39</v>
      </c>
      <c r="L114" t="s">
        <v>312</v>
      </c>
    </row>
    <row r="115" spans="1:12" x14ac:dyDescent="0.35">
      <c r="A115" t="s">
        <v>313</v>
      </c>
      <c r="B115">
        <v>45753</v>
      </c>
      <c r="C115" t="s">
        <v>21</v>
      </c>
      <c r="D115" t="s">
        <v>132</v>
      </c>
      <c r="E115" t="s">
        <v>153</v>
      </c>
      <c r="F115">
        <v>23440</v>
      </c>
      <c r="G115" t="s">
        <v>16</v>
      </c>
      <c r="H115" t="s">
        <v>17</v>
      </c>
      <c r="I115">
        <v>29981</v>
      </c>
      <c r="J115">
        <v>6541</v>
      </c>
      <c r="K115" t="s">
        <v>66</v>
      </c>
      <c r="L115" t="s">
        <v>314</v>
      </c>
    </row>
    <row r="116" spans="1:12" x14ac:dyDescent="0.35">
      <c r="A116" t="s">
        <v>315</v>
      </c>
      <c r="B116">
        <v>45757</v>
      </c>
      <c r="C116" t="s">
        <v>46</v>
      </c>
      <c r="D116" t="s">
        <v>58</v>
      </c>
      <c r="E116" t="s">
        <v>59</v>
      </c>
      <c r="F116">
        <v>64488</v>
      </c>
      <c r="G116" t="s">
        <v>23</v>
      </c>
      <c r="H116" t="s">
        <v>17</v>
      </c>
      <c r="I116">
        <v>65808</v>
      </c>
      <c r="J116">
        <v>1320</v>
      </c>
      <c r="K116" t="s">
        <v>69</v>
      </c>
      <c r="L116" t="s">
        <v>316</v>
      </c>
    </row>
    <row r="117" spans="1:12" x14ac:dyDescent="0.35">
      <c r="A117" t="s">
        <v>317</v>
      </c>
      <c r="B117">
        <v>45774</v>
      </c>
      <c r="C117" t="s">
        <v>46</v>
      </c>
      <c r="D117" t="s">
        <v>58</v>
      </c>
      <c r="E117" t="s">
        <v>59</v>
      </c>
      <c r="F117">
        <v>61403</v>
      </c>
      <c r="G117" t="s">
        <v>23</v>
      </c>
      <c r="H117" t="s">
        <v>17</v>
      </c>
      <c r="I117">
        <v>72218</v>
      </c>
      <c r="J117">
        <v>10815</v>
      </c>
      <c r="K117" t="s">
        <v>66</v>
      </c>
      <c r="L117" t="s">
        <v>318</v>
      </c>
    </row>
    <row r="118" spans="1:12" x14ac:dyDescent="0.35">
      <c r="A118" t="s">
        <v>319</v>
      </c>
      <c r="B118">
        <v>45764</v>
      </c>
      <c r="C118" t="s">
        <v>46</v>
      </c>
      <c r="D118" t="s">
        <v>54</v>
      </c>
      <c r="E118" t="s">
        <v>55</v>
      </c>
      <c r="F118">
        <v>5641</v>
      </c>
      <c r="G118" t="s">
        <v>51</v>
      </c>
      <c r="H118" t="s">
        <v>17</v>
      </c>
      <c r="I118">
        <v>7856</v>
      </c>
      <c r="J118">
        <v>2215</v>
      </c>
      <c r="K118" t="s">
        <v>66</v>
      </c>
      <c r="L118" t="s">
        <v>320</v>
      </c>
    </row>
    <row r="119" spans="1:12" x14ac:dyDescent="0.35">
      <c r="A119" t="s">
        <v>321</v>
      </c>
      <c r="B119">
        <v>45750</v>
      </c>
      <c r="C119" t="s">
        <v>46</v>
      </c>
      <c r="D119" t="s">
        <v>26</v>
      </c>
      <c r="E119" t="s">
        <v>171</v>
      </c>
      <c r="F119">
        <v>4039</v>
      </c>
      <c r="G119" t="s">
        <v>16</v>
      </c>
      <c r="H119" t="s">
        <v>17</v>
      </c>
      <c r="I119">
        <v>5221</v>
      </c>
      <c r="J119">
        <v>1182</v>
      </c>
      <c r="K119" t="s">
        <v>80</v>
      </c>
      <c r="L119" t="s">
        <v>322</v>
      </c>
    </row>
    <row r="120" spans="1:12" x14ac:dyDescent="0.35">
      <c r="A120" t="s">
        <v>323</v>
      </c>
      <c r="B120">
        <v>45768</v>
      </c>
      <c r="C120" t="s">
        <v>46</v>
      </c>
      <c r="D120" t="s">
        <v>54</v>
      </c>
      <c r="E120" t="s">
        <v>55</v>
      </c>
      <c r="F120">
        <v>5075</v>
      </c>
      <c r="G120" t="s">
        <v>38</v>
      </c>
      <c r="H120" t="s">
        <v>17</v>
      </c>
      <c r="I120">
        <v>7135</v>
      </c>
      <c r="J120">
        <v>2060</v>
      </c>
      <c r="K120" t="s">
        <v>86</v>
      </c>
      <c r="L120" t="s">
        <v>324</v>
      </c>
    </row>
    <row r="121" spans="1:12" x14ac:dyDescent="0.35">
      <c r="A121" t="s">
        <v>325</v>
      </c>
      <c r="B121">
        <v>45766</v>
      </c>
      <c r="C121" t="s">
        <v>72</v>
      </c>
      <c r="D121" t="s">
        <v>132</v>
      </c>
      <c r="E121" t="s">
        <v>247</v>
      </c>
      <c r="F121">
        <v>22563</v>
      </c>
      <c r="G121" t="s">
        <v>38</v>
      </c>
      <c r="H121" t="s">
        <v>17</v>
      </c>
      <c r="I121">
        <v>26069</v>
      </c>
      <c r="J121">
        <v>3506</v>
      </c>
      <c r="K121" t="s">
        <v>28</v>
      </c>
      <c r="L121" t="s">
        <v>326</v>
      </c>
    </row>
    <row r="122" spans="1:12" x14ac:dyDescent="0.35">
      <c r="A122" t="s">
        <v>327</v>
      </c>
      <c r="B122">
        <v>45765</v>
      </c>
      <c r="C122" t="s">
        <v>72</v>
      </c>
      <c r="D122" t="s">
        <v>26</v>
      </c>
      <c r="E122" t="s">
        <v>250</v>
      </c>
      <c r="F122">
        <v>2548</v>
      </c>
      <c r="G122" t="s">
        <v>51</v>
      </c>
      <c r="H122" t="s">
        <v>17</v>
      </c>
      <c r="I122">
        <v>2721</v>
      </c>
      <c r="J122">
        <v>173</v>
      </c>
      <c r="K122" t="s">
        <v>66</v>
      </c>
      <c r="L122" t="s">
        <v>328</v>
      </c>
    </row>
    <row r="123" spans="1:12" x14ac:dyDescent="0.35">
      <c r="A123" t="s">
        <v>329</v>
      </c>
      <c r="B123">
        <v>45762</v>
      </c>
      <c r="C123" t="s">
        <v>72</v>
      </c>
      <c r="D123" t="s">
        <v>132</v>
      </c>
      <c r="E123" t="s">
        <v>247</v>
      </c>
      <c r="F123">
        <v>21568</v>
      </c>
      <c r="G123" t="s">
        <v>51</v>
      </c>
      <c r="H123" t="s">
        <v>17</v>
      </c>
      <c r="I123">
        <v>31566</v>
      </c>
      <c r="J123">
        <v>9998</v>
      </c>
      <c r="K123" t="s">
        <v>86</v>
      </c>
      <c r="L123" t="s">
        <v>330</v>
      </c>
    </row>
    <row r="124" spans="1:12" x14ac:dyDescent="0.35">
      <c r="A124" t="s">
        <v>331</v>
      </c>
      <c r="B124">
        <v>45758</v>
      </c>
      <c r="C124" t="s">
        <v>72</v>
      </c>
      <c r="D124" t="s">
        <v>21</v>
      </c>
      <c r="E124" t="s">
        <v>73</v>
      </c>
      <c r="F124">
        <v>148037</v>
      </c>
      <c r="G124" t="s">
        <v>16</v>
      </c>
      <c r="H124" t="s">
        <v>17</v>
      </c>
      <c r="I124">
        <v>180746</v>
      </c>
      <c r="J124">
        <v>32709</v>
      </c>
      <c r="K124" t="s">
        <v>33</v>
      </c>
      <c r="L124" t="s">
        <v>332</v>
      </c>
    </row>
    <row r="125" spans="1:12" x14ac:dyDescent="0.35">
      <c r="A125" t="s">
        <v>333</v>
      </c>
      <c r="B125">
        <v>45762</v>
      </c>
      <c r="C125" t="s">
        <v>72</v>
      </c>
      <c r="D125" t="s">
        <v>31</v>
      </c>
      <c r="E125" t="s">
        <v>177</v>
      </c>
      <c r="F125">
        <v>120233</v>
      </c>
      <c r="G125" t="s">
        <v>23</v>
      </c>
      <c r="H125" t="s">
        <v>43</v>
      </c>
      <c r="I125">
        <v>178032</v>
      </c>
      <c r="J125">
        <v>57799</v>
      </c>
      <c r="K125" t="s">
        <v>80</v>
      </c>
      <c r="L125" t="s">
        <v>334</v>
      </c>
    </row>
    <row r="126" spans="1:12" x14ac:dyDescent="0.35">
      <c r="A126" t="s">
        <v>335</v>
      </c>
      <c r="B126">
        <v>45766</v>
      </c>
      <c r="C126" t="s">
        <v>92</v>
      </c>
      <c r="D126" t="s">
        <v>21</v>
      </c>
      <c r="E126" t="s">
        <v>106</v>
      </c>
      <c r="F126">
        <v>89269</v>
      </c>
      <c r="G126" t="s">
        <v>16</v>
      </c>
      <c r="H126" t="s">
        <v>17</v>
      </c>
      <c r="I126">
        <v>124380</v>
      </c>
      <c r="J126">
        <v>35111</v>
      </c>
      <c r="K126" t="s">
        <v>28</v>
      </c>
      <c r="L126" t="s">
        <v>336</v>
      </c>
    </row>
    <row r="127" spans="1:12" x14ac:dyDescent="0.35">
      <c r="A127" t="s">
        <v>337</v>
      </c>
      <c r="B127">
        <v>45760</v>
      </c>
      <c r="C127" t="s">
        <v>92</v>
      </c>
      <c r="D127" t="s">
        <v>132</v>
      </c>
      <c r="E127" t="s">
        <v>338</v>
      </c>
      <c r="F127">
        <v>4754</v>
      </c>
      <c r="G127" t="s">
        <v>51</v>
      </c>
      <c r="H127" t="s">
        <v>17</v>
      </c>
      <c r="I127">
        <v>6549</v>
      </c>
      <c r="J127">
        <v>1795</v>
      </c>
      <c r="K127" t="s">
        <v>80</v>
      </c>
      <c r="L127" t="s">
        <v>339</v>
      </c>
    </row>
    <row r="128" spans="1:12" x14ac:dyDescent="0.35">
      <c r="A128" t="s">
        <v>340</v>
      </c>
      <c r="B128">
        <v>45756</v>
      </c>
      <c r="C128" t="s">
        <v>92</v>
      </c>
      <c r="D128" t="s">
        <v>31</v>
      </c>
      <c r="E128" t="s">
        <v>184</v>
      </c>
      <c r="F128">
        <v>24246</v>
      </c>
      <c r="G128" t="s">
        <v>23</v>
      </c>
      <c r="H128" t="s">
        <v>17</v>
      </c>
      <c r="I128">
        <v>25272</v>
      </c>
      <c r="J128">
        <v>1026</v>
      </c>
      <c r="K128" t="s">
        <v>28</v>
      </c>
      <c r="L128" t="s">
        <v>341</v>
      </c>
    </row>
    <row r="129" spans="1:12" x14ac:dyDescent="0.35">
      <c r="A129" t="s">
        <v>342</v>
      </c>
      <c r="B129">
        <v>45749</v>
      </c>
      <c r="C129" t="s">
        <v>114</v>
      </c>
      <c r="D129" t="s">
        <v>31</v>
      </c>
      <c r="E129" t="s">
        <v>281</v>
      </c>
      <c r="F129">
        <v>191034</v>
      </c>
      <c r="G129" t="s">
        <v>23</v>
      </c>
      <c r="H129" t="s">
        <v>43</v>
      </c>
      <c r="I129">
        <v>222680</v>
      </c>
      <c r="J129">
        <v>31646</v>
      </c>
      <c r="K129" t="s">
        <v>116</v>
      </c>
      <c r="L129" t="s">
        <v>343</v>
      </c>
    </row>
    <row r="130" spans="1:12" x14ac:dyDescent="0.35">
      <c r="A130" t="s">
        <v>344</v>
      </c>
      <c r="B130">
        <v>45771</v>
      </c>
      <c r="C130" t="s">
        <v>114</v>
      </c>
      <c r="D130" t="s">
        <v>26</v>
      </c>
      <c r="E130" t="s">
        <v>119</v>
      </c>
      <c r="F130">
        <v>4729</v>
      </c>
      <c r="G130" t="s">
        <v>38</v>
      </c>
      <c r="H130" t="s">
        <v>17</v>
      </c>
      <c r="I130">
        <v>5070</v>
      </c>
      <c r="J130">
        <v>341</v>
      </c>
      <c r="K130" t="s">
        <v>18</v>
      </c>
      <c r="L130" t="s">
        <v>345</v>
      </c>
    </row>
    <row r="131" spans="1:12" x14ac:dyDescent="0.35">
      <c r="A131" t="s">
        <v>346</v>
      </c>
      <c r="B131">
        <v>45771</v>
      </c>
      <c r="C131" t="s">
        <v>114</v>
      </c>
      <c r="D131" t="s">
        <v>21</v>
      </c>
      <c r="E131" t="s">
        <v>115</v>
      </c>
      <c r="F131">
        <v>88877</v>
      </c>
      <c r="G131" t="s">
        <v>23</v>
      </c>
      <c r="H131" t="s">
        <v>17</v>
      </c>
      <c r="I131">
        <v>116795</v>
      </c>
      <c r="J131">
        <v>27918</v>
      </c>
      <c r="K131" t="s">
        <v>28</v>
      </c>
      <c r="L131" t="s">
        <v>347</v>
      </c>
    </row>
    <row r="132" spans="1:12" x14ac:dyDescent="0.35">
      <c r="A132" t="s">
        <v>348</v>
      </c>
      <c r="B132">
        <v>45767</v>
      </c>
      <c r="C132" t="s">
        <v>114</v>
      </c>
      <c r="D132" t="s">
        <v>14</v>
      </c>
      <c r="E132" t="s">
        <v>284</v>
      </c>
      <c r="F132">
        <v>6400</v>
      </c>
      <c r="G132" t="s">
        <v>23</v>
      </c>
      <c r="H132" t="s">
        <v>43</v>
      </c>
      <c r="I132">
        <v>6400</v>
      </c>
      <c r="J132">
        <v>0</v>
      </c>
      <c r="K132" t="s">
        <v>62</v>
      </c>
      <c r="L132" t="s">
        <v>349</v>
      </c>
    </row>
    <row r="133" spans="1:12" x14ac:dyDescent="0.35">
      <c r="A133" t="s">
        <v>350</v>
      </c>
      <c r="B133">
        <v>45774</v>
      </c>
      <c r="C133" t="s">
        <v>114</v>
      </c>
      <c r="D133" t="s">
        <v>26</v>
      </c>
      <c r="E133" t="s">
        <v>119</v>
      </c>
      <c r="F133">
        <v>1348</v>
      </c>
      <c r="G133" t="s">
        <v>38</v>
      </c>
      <c r="H133" t="s">
        <v>17</v>
      </c>
      <c r="I133">
        <v>1667</v>
      </c>
      <c r="J133">
        <v>319</v>
      </c>
      <c r="K133" t="s">
        <v>80</v>
      </c>
      <c r="L133" t="s">
        <v>351</v>
      </c>
    </row>
    <row r="134" spans="1:12" x14ac:dyDescent="0.35">
      <c r="A134" t="s">
        <v>352</v>
      </c>
      <c r="B134">
        <v>45804</v>
      </c>
      <c r="C134" t="s">
        <v>13</v>
      </c>
      <c r="D134" t="s">
        <v>36</v>
      </c>
      <c r="E134" t="s">
        <v>139</v>
      </c>
      <c r="F134">
        <v>68402</v>
      </c>
      <c r="G134" t="s">
        <v>51</v>
      </c>
      <c r="H134" t="s">
        <v>43</v>
      </c>
      <c r="I134">
        <v>102011</v>
      </c>
      <c r="J134">
        <v>33609</v>
      </c>
      <c r="K134" t="s">
        <v>66</v>
      </c>
      <c r="L134" t="s">
        <v>353</v>
      </c>
    </row>
    <row r="135" spans="1:12" x14ac:dyDescent="0.35">
      <c r="A135" t="s">
        <v>354</v>
      </c>
      <c r="B135">
        <v>45791</v>
      </c>
      <c r="C135" t="s">
        <v>13</v>
      </c>
      <c r="D135" t="s">
        <v>31</v>
      </c>
      <c r="E135" t="s">
        <v>290</v>
      </c>
      <c r="F135">
        <v>182532</v>
      </c>
      <c r="G135" t="s">
        <v>51</v>
      </c>
      <c r="H135" t="s">
        <v>17</v>
      </c>
      <c r="I135">
        <v>238858</v>
      </c>
      <c r="J135">
        <v>56326</v>
      </c>
      <c r="K135" t="s">
        <v>39</v>
      </c>
      <c r="L135" t="s">
        <v>355</v>
      </c>
    </row>
    <row r="136" spans="1:12" x14ac:dyDescent="0.35">
      <c r="A136" t="s">
        <v>356</v>
      </c>
      <c r="B136">
        <v>45800</v>
      </c>
      <c r="C136" t="s">
        <v>13</v>
      </c>
      <c r="D136" t="s">
        <v>26</v>
      </c>
      <c r="E136" t="s">
        <v>27</v>
      </c>
      <c r="F136">
        <v>1898</v>
      </c>
      <c r="G136" t="s">
        <v>51</v>
      </c>
      <c r="H136" t="s">
        <v>17</v>
      </c>
      <c r="I136">
        <v>2383</v>
      </c>
      <c r="J136">
        <v>485</v>
      </c>
      <c r="K136" t="s">
        <v>69</v>
      </c>
      <c r="L136" t="s">
        <v>357</v>
      </c>
    </row>
    <row r="137" spans="1:12" x14ac:dyDescent="0.35">
      <c r="A137" t="s">
        <v>358</v>
      </c>
      <c r="B137">
        <v>45796</v>
      </c>
      <c r="C137" t="s">
        <v>13</v>
      </c>
      <c r="D137" t="s">
        <v>132</v>
      </c>
      <c r="E137" t="s">
        <v>142</v>
      </c>
      <c r="F137">
        <v>24873</v>
      </c>
      <c r="G137" t="s">
        <v>38</v>
      </c>
      <c r="H137" t="s">
        <v>17</v>
      </c>
      <c r="I137">
        <v>26117</v>
      </c>
      <c r="J137">
        <v>1244</v>
      </c>
      <c r="K137" t="s">
        <v>66</v>
      </c>
      <c r="L137" t="s">
        <v>359</v>
      </c>
    </row>
    <row r="138" spans="1:12" x14ac:dyDescent="0.35">
      <c r="A138" t="s">
        <v>360</v>
      </c>
      <c r="B138">
        <v>45792</v>
      </c>
      <c r="C138" t="s">
        <v>13</v>
      </c>
      <c r="D138" t="s">
        <v>36</v>
      </c>
      <c r="E138" t="s">
        <v>139</v>
      </c>
      <c r="F138">
        <v>96442</v>
      </c>
      <c r="G138" t="s">
        <v>38</v>
      </c>
      <c r="H138" t="s">
        <v>17</v>
      </c>
      <c r="I138">
        <v>135012</v>
      </c>
      <c r="J138">
        <v>38570</v>
      </c>
      <c r="K138" t="s">
        <v>39</v>
      </c>
      <c r="L138" t="s">
        <v>361</v>
      </c>
    </row>
    <row r="139" spans="1:12" x14ac:dyDescent="0.35">
      <c r="A139" t="s">
        <v>362</v>
      </c>
      <c r="B139">
        <v>45778</v>
      </c>
      <c r="C139" t="s">
        <v>21</v>
      </c>
      <c r="D139" t="s">
        <v>31</v>
      </c>
      <c r="E139" t="s">
        <v>32</v>
      </c>
      <c r="F139">
        <v>41490</v>
      </c>
      <c r="G139" t="s">
        <v>16</v>
      </c>
      <c r="H139" t="s">
        <v>17</v>
      </c>
      <c r="I139">
        <v>53195</v>
      </c>
      <c r="J139">
        <v>11705</v>
      </c>
      <c r="K139" t="s">
        <v>28</v>
      </c>
      <c r="L139" t="s">
        <v>363</v>
      </c>
    </row>
    <row r="140" spans="1:12" x14ac:dyDescent="0.35">
      <c r="A140" t="s">
        <v>364</v>
      </c>
      <c r="B140">
        <v>45792</v>
      </c>
      <c r="C140" t="s">
        <v>21</v>
      </c>
      <c r="D140" t="s">
        <v>58</v>
      </c>
      <c r="E140" t="s">
        <v>301</v>
      </c>
      <c r="F140">
        <v>51494</v>
      </c>
      <c r="G140" t="s">
        <v>38</v>
      </c>
      <c r="H140" t="s">
        <v>17</v>
      </c>
      <c r="I140">
        <v>76283</v>
      </c>
      <c r="J140">
        <v>24789</v>
      </c>
      <c r="K140" t="s">
        <v>80</v>
      </c>
      <c r="L140" t="s">
        <v>365</v>
      </c>
    </row>
    <row r="141" spans="1:12" x14ac:dyDescent="0.35">
      <c r="A141" t="s">
        <v>366</v>
      </c>
      <c r="B141">
        <v>45794</v>
      </c>
      <c r="C141" t="s">
        <v>21</v>
      </c>
      <c r="D141" t="s">
        <v>54</v>
      </c>
      <c r="E141" t="s">
        <v>158</v>
      </c>
      <c r="F141">
        <v>9202</v>
      </c>
      <c r="G141" t="s">
        <v>51</v>
      </c>
      <c r="H141" t="s">
        <v>17</v>
      </c>
      <c r="I141">
        <v>13140</v>
      </c>
      <c r="J141">
        <v>3938</v>
      </c>
      <c r="K141" t="s">
        <v>116</v>
      </c>
      <c r="L141" t="s">
        <v>367</v>
      </c>
    </row>
    <row r="142" spans="1:12" x14ac:dyDescent="0.35">
      <c r="A142" t="s">
        <v>368</v>
      </c>
      <c r="B142">
        <v>45789</v>
      </c>
      <c r="C142" t="s">
        <v>21</v>
      </c>
      <c r="D142" t="s">
        <v>14</v>
      </c>
      <c r="E142" t="s">
        <v>42</v>
      </c>
      <c r="F142">
        <v>13435</v>
      </c>
      <c r="G142" t="s">
        <v>16</v>
      </c>
      <c r="H142" t="s">
        <v>17</v>
      </c>
      <c r="I142">
        <v>17841</v>
      </c>
      <c r="J142">
        <v>4406</v>
      </c>
      <c r="K142" t="s">
        <v>39</v>
      </c>
      <c r="L142" t="s">
        <v>369</v>
      </c>
    </row>
    <row r="143" spans="1:12" x14ac:dyDescent="0.35">
      <c r="A143" t="s">
        <v>370</v>
      </c>
      <c r="B143">
        <v>45804</v>
      </c>
      <c r="C143" t="s">
        <v>21</v>
      </c>
      <c r="D143" t="s">
        <v>132</v>
      </c>
      <c r="E143" t="s">
        <v>153</v>
      </c>
      <c r="F143">
        <v>15908</v>
      </c>
      <c r="G143" t="s">
        <v>38</v>
      </c>
      <c r="H143" t="s">
        <v>17</v>
      </c>
      <c r="I143">
        <v>16451</v>
      </c>
      <c r="J143">
        <v>543</v>
      </c>
      <c r="K143" t="s">
        <v>69</v>
      </c>
      <c r="L143" t="s">
        <v>371</v>
      </c>
    </row>
    <row r="144" spans="1:12" x14ac:dyDescent="0.35">
      <c r="A144" t="s">
        <v>372</v>
      </c>
      <c r="B144">
        <v>45794</v>
      </c>
      <c r="C144" t="s">
        <v>46</v>
      </c>
      <c r="D144" t="s">
        <v>21</v>
      </c>
      <c r="E144" t="s">
        <v>236</v>
      </c>
      <c r="F144">
        <v>142901</v>
      </c>
      <c r="G144" t="s">
        <v>16</v>
      </c>
      <c r="H144" t="s">
        <v>17</v>
      </c>
      <c r="I144">
        <v>198304</v>
      </c>
      <c r="J144">
        <v>55403</v>
      </c>
      <c r="K144" t="s">
        <v>33</v>
      </c>
      <c r="L144" t="s">
        <v>373</v>
      </c>
    </row>
    <row r="145" spans="1:12" x14ac:dyDescent="0.35">
      <c r="A145" t="s">
        <v>374</v>
      </c>
      <c r="B145">
        <v>45790</v>
      </c>
      <c r="C145" t="s">
        <v>46</v>
      </c>
      <c r="D145" t="s">
        <v>54</v>
      </c>
      <c r="E145" t="s">
        <v>55</v>
      </c>
      <c r="F145">
        <v>10576</v>
      </c>
      <c r="G145" t="s">
        <v>23</v>
      </c>
      <c r="H145" t="s">
        <v>17</v>
      </c>
      <c r="I145">
        <v>13841</v>
      </c>
      <c r="J145">
        <v>3265</v>
      </c>
      <c r="K145" t="s">
        <v>80</v>
      </c>
      <c r="L145" t="s">
        <v>375</v>
      </c>
    </row>
    <row r="146" spans="1:12" x14ac:dyDescent="0.35">
      <c r="A146" t="s">
        <v>376</v>
      </c>
      <c r="B146">
        <v>45793</v>
      </c>
      <c r="C146" t="s">
        <v>46</v>
      </c>
      <c r="D146" t="s">
        <v>26</v>
      </c>
      <c r="E146" t="s">
        <v>171</v>
      </c>
      <c r="F146">
        <v>1290</v>
      </c>
      <c r="G146" t="s">
        <v>38</v>
      </c>
      <c r="H146" t="s">
        <v>17</v>
      </c>
      <c r="I146">
        <v>1719</v>
      </c>
      <c r="J146">
        <v>429</v>
      </c>
      <c r="K146" t="s">
        <v>18</v>
      </c>
      <c r="L146" t="s">
        <v>377</v>
      </c>
    </row>
    <row r="147" spans="1:12" x14ac:dyDescent="0.35">
      <c r="A147" t="s">
        <v>378</v>
      </c>
      <c r="B147">
        <v>45790</v>
      </c>
      <c r="C147" t="s">
        <v>46</v>
      </c>
      <c r="D147" t="s">
        <v>14</v>
      </c>
      <c r="E147" t="s">
        <v>65</v>
      </c>
      <c r="F147">
        <v>13403</v>
      </c>
      <c r="G147" t="s">
        <v>38</v>
      </c>
      <c r="H147" t="s">
        <v>17</v>
      </c>
      <c r="I147">
        <v>18283</v>
      </c>
      <c r="J147">
        <v>4880</v>
      </c>
      <c r="K147" t="s">
        <v>80</v>
      </c>
      <c r="L147" t="s">
        <v>379</v>
      </c>
    </row>
    <row r="148" spans="1:12" x14ac:dyDescent="0.35">
      <c r="A148" t="s">
        <v>380</v>
      </c>
      <c r="B148">
        <v>45801</v>
      </c>
      <c r="C148" t="s">
        <v>46</v>
      </c>
      <c r="D148" t="s">
        <v>132</v>
      </c>
      <c r="E148" t="s">
        <v>174</v>
      </c>
      <c r="F148">
        <v>6751</v>
      </c>
      <c r="G148" t="s">
        <v>23</v>
      </c>
      <c r="H148" t="s">
        <v>17</v>
      </c>
      <c r="I148">
        <v>6877</v>
      </c>
      <c r="J148">
        <v>126</v>
      </c>
      <c r="K148" t="s">
        <v>33</v>
      </c>
      <c r="L148" t="s">
        <v>381</v>
      </c>
    </row>
    <row r="149" spans="1:12" x14ac:dyDescent="0.35">
      <c r="A149" t="s">
        <v>382</v>
      </c>
      <c r="B149">
        <v>45800</v>
      </c>
      <c r="C149" t="s">
        <v>46</v>
      </c>
      <c r="D149" t="s">
        <v>58</v>
      </c>
      <c r="E149" t="s">
        <v>59</v>
      </c>
      <c r="F149">
        <v>27815</v>
      </c>
      <c r="G149" t="s">
        <v>38</v>
      </c>
      <c r="H149" t="s">
        <v>17</v>
      </c>
      <c r="I149">
        <v>32282</v>
      </c>
      <c r="J149">
        <v>4467</v>
      </c>
      <c r="K149" t="s">
        <v>39</v>
      </c>
      <c r="L149" t="s">
        <v>383</v>
      </c>
    </row>
    <row r="150" spans="1:12" x14ac:dyDescent="0.35">
      <c r="A150" t="s">
        <v>384</v>
      </c>
      <c r="B150">
        <v>45792</v>
      </c>
      <c r="C150" t="s">
        <v>46</v>
      </c>
      <c r="D150" t="s">
        <v>26</v>
      </c>
      <c r="E150" t="s">
        <v>171</v>
      </c>
      <c r="F150">
        <v>2103</v>
      </c>
      <c r="G150" t="s">
        <v>16</v>
      </c>
      <c r="H150" t="s">
        <v>17</v>
      </c>
      <c r="I150">
        <v>2368</v>
      </c>
      <c r="J150">
        <v>265</v>
      </c>
      <c r="K150" t="s">
        <v>18</v>
      </c>
      <c r="L150" t="s">
        <v>385</v>
      </c>
    </row>
    <row r="151" spans="1:12" x14ac:dyDescent="0.35">
      <c r="A151" t="s">
        <v>386</v>
      </c>
      <c r="B151">
        <v>45803</v>
      </c>
      <c r="C151" t="s">
        <v>46</v>
      </c>
      <c r="D151" t="s">
        <v>36</v>
      </c>
      <c r="E151" t="s">
        <v>47</v>
      </c>
      <c r="F151">
        <v>111671</v>
      </c>
      <c r="G151" t="s">
        <v>51</v>
      </c>
      <c r="H151" t="s">
        <v>17</v>
      </c>
      <c r="I151">
        <v>141182</v>
      </c>
      <c r="J151">
        <v>29511</v>
      </c>
      <c r="K151" t="s">
        <v>28</v>
      </c>
      <c r="L151" t="s">
        <v>387</v>
      </c>
    </row>
    <row r="152" spans="1:12" x14ac:dyDescent="0.35">
      <c r="A152" t="s">
        <v>388</v>
      </c>
      <c r="B152">
        <v>45782</v>
      </c>
      <c r="C152" t="s">
        <v>72</v>
      </c>
      <c r="D152" t="s">
        <v>14</v>
      </c>
      <c r="E152" t="s">
        <v>89</v>
      </c>
      <c r="F152">
        <v>15339</v>
      </c>
      <c r="G152" t="s">
        <v>23</v>
      </c>
      <c r="H152" t="s">
        <v>17</v>
      </c>
      <c r="I152">
        <v>15594</v>
      </c>
      <c r="J152">
        <v>255</v>
      </c>
      <c r="K152" t="s">
        <v>86</v>
      </c>
      <c r="L152" t="s">
        <v>389</v>
      </c>
    </row>
    <row r="153" spans="1:12" x14ac:dyDescent="0.35">
      <c r="A153" t="s">
        <v>390</v>
      </c>
      <c r="B153">
        <v>45801</v>
      </c>
      <c r="C153" t="s">
        <v>72</v>
      </c>
      <c r="D153" t="s">
        <v>14</v>
      </c>
      <c r="E153" t="s">
        <v>89</v>
      </c>
      <c r="F153">
        <v>24328</v>
      </c>
      <c r="G153" t="s">
        <v>38</v>
      </c>
      <c r="H153" t="s">
        <v>17</v>
      </c>
      <c r="I153">
        <v>26582</v>
      </c>
      <c r="J153">
        <v>2254</v>
      </c>
      <c r="K153" t="s">
        <v>18</v>
      </c>
      <c r="L153" t="s">
        <v>391</v>
      </c>
    </row>
    <row r="154" spans="1:12" x14ac:dyDescent="0.35">
      <c r="A154" t="s">
        <v>392</v>
      </c>
      <c r="B154">
        <v>45797</v>
      </c>
      <c r="C154" t="s">
        <v>72</v>
      </c>
      <c r="D154" t="s">
        <v>31</v>
      </c>
      <c r="E154" t="s">
        <v>177</v>
      </c>
      <c r="F154">
        <v>141294</v>
      </c>
      <c r="G154" t="s">
        <v>51</v>
      </c>
      <c r="H154" t="s">
        <v>17</v>
      </c>
      <c r="I154">
        <v>166169</v>
      </c>
      <c r="J154">
        <v>24875</v>
      </c>
      <c r="K154" t="s">
        <v>69</v>
      </c>
      <c r="L154" t="s">
        <v>393</v>
      </c>
    </row>
    <row r="155" spans="1:12" x14ac:dyDescent="0.35">
      <c r="A155" t="s">
        <v>394</v>
      </c>
      <c r="B155">
        <v>45780</v>
      </c>
      <c r="C155" t="s">
        <v>72</v>
      </c>
      <c r="D155" t="s">
        <v>36</v>
      </c>
      <c r="E155" t="s">
        <v>76</v>
      </c>
      <c r="F155">
        <v>119553</v>
      </c>
      <c r="G155" t="s">
        <v>51</v>
      </c>
      <c r="H155" t="s">
        <v>43</v>
      </c>
      <c r="I155">
        <v>123789</v>
      </c>
      <c r="J155">
        <v>4236</v>
      </c>
      <c r="K155" t="s">
        <v>66</v>
      </c>
      <c r="L155" t="s">
        <v>395</v>
      </c>
    </row>
    <row r="156" spans="1:12" x14ac:dyDescent="0.35">
      <c r="A156" t="s">
        <v>396</v>
      </c>
      <c r="B156">
        <v>45797</v>
      </c>
      <c r="C156" t="s">
        <v>72</v>
      </c>
      <c r="D156" t="s">
        <v>14</v>
      </c>
      <c r="E156" t="s">
        <v>89</v>
      </c>
      <c r="F156">
        <v>34683</v>
      </c>
      <c r="G156" t="s">
        <v>16</v>
      </c>
      <c r="H156" t="s">
        <v>17</v>
      </c>
      <c r="I156">
        <v>38681</v>
      </c>
      <c r="J156">
        <v>3998</v>
      </c>
      <c r="K156" t="s">
        <v>18</v>
      </c>
      <c r="L156" t="s">
        <v>397</v>
      </c>
    </row>
    <row r="157" spans="1:12" x14ac:dyDescent="0.35">
      <c r="A157" t="s">
        <v>398</v>
      </c>
      <c r="B157">
        <v>45780</v>
      </c>
      <c r="C157" t="s">
        <v>72</v>
      </c>
      <c r="D157" t="s">
        <v>132</v>
      </c>
      <c r="E157" t="s">
        <v>247</v>
      </c>
      <c r="F157">
        <v>15793</v>
      </c>
      <c r="G157" t="s">
        <v>51</v>
      </c>
      <c r="H157" t="s">
        <v>17</v>
      </c>
      <c r="I157">
        <v>21346</v>
      </c>
      <c r="J157">
        <v>5553</v>
      </c>
      <c r="K157" t="s">
        <v>62</v>
      </c>
      <c r="L157" t="s">
        <v>399</v>
      </c>
    </row>
    <row r="158" spans="1:12" x14ac:dyDescent="0.35">
      <c r="A158" t="s">
        <v>400</v>
      </c>
      <c r="B158">
        <v>45797</v>
      </c>
      <c r="C158" t="s">
        <v>72</v>
      </c>
      <c r="D158" t="s">
        <v>26</v>
      </c>
      <c r="E158" t="s">
        <v>250</v>
      </c>
      <c r="F158">
        <v>7489</v>
      </c>
      <c r="G158" t="s">
        <v>16</v>
      </c>
      <c r="H158" t="s">
        <v>17</v>
      </c>
      <c r="I158">
        <v>9428</v>
      </c>
      <c r="J158">
        <v>1939</v>
      </c>
      <c r="K158" t="s">
        <v>28</v>
      </c>
      <c r="L158" t="s">
        <v>401</v>
      </c>
    </row>
    <row r="159" spans="1:12" x14ac:dyDescent="0.35">
      <c r="A159" t="s">
        <v>402</v>
      </c>
      <c r="B159">
        <v>45786</v>
      </c>
      <c r="C159" t="s">
        <v>72</v>
      </c>
      <c r="D159" t="s">
        <v>14</v>
      </c>
      <c r="E159" t="s">
        <v>89</v>
      </c>
      <c r="F159">
        <v>40192</v>
      </c>
      <c r="G159" t="s">
        <v>23</v>
      </c>
      <c r="H159" t="s">
        <v>17</v>
      </c>
      <c r="I159">
        <v>49657</v>
      </c>
      <c r="J159">
        <v>9465</v>
      </c>
      <c r="K159" t="s">
        <v>33</v>
      </c>
      <c r="L159" t="s">
        <v>403</v>
      </c>
    </row>
    <row r="160" spans="1:12" x14ac:dyDescent="0.35">
      <c r="A160" t="s">
        <v>404</v>
      </c>
      <c r="B160">
        <v>45779</v>
      </c>
      <c r="C160" t="s">
        <v>92</v>
      </c>
      <c r="D160" t="s">
        <v>26</v>
      </c>
      <c r="E160" t="s">
        <v>191</v>
      </c>
      <c r="F160">
        <v>3240</v>
      </c>
      <c r="G160" t="s">
        <v>51</v>
      </c>
      <c r="H160" t="s">
        <v>17</v>
      </c>
      <c r="I160">
        <v>4679</v>
      </c>
      <c r="J160">
        <v>1439</v>
      </c>
      <c r="K160" t="s">
        <v>116</v>
      </c>
      <c r="L160" t="s">
        <v>405</v>
      </c>
    </row>
    <row r="161" spans="1:12" x14ac:dyDescent="0.35">
      <c r="A161" t="s">
        <v>406</v>
      </c>
      <c r="B161">
        <v>45803</v>
      </c>
      <c r="C161" t="s">
        <v>92</v>
      </c>
      <c r="D161" t="s">
        <v>58</v>
      </c>
      <c r="E161" t="s">
        <v>99</v>
      </c>
      <c r="F161">
        <v>35882</v>
      </c>
      <c r="G161" t="s">
        <v>23</v>
      </c>
      <c r="H161" t="s">
        <v>17</v>
      </c>
      <c r="I161">
        <v>44737</v>
      </c>
      <c r="J161">
        <v>8855</v>
      </c>
      <c r="K161" t="s">
        <v>62</v>
      </c>
      <c r="L161" t="s">
        <v>407</v>
      </c>
    </row>
    <row r="162" spans="1:12" x14ac:dyDescent="0.35">
      <c r="A162" t="s">
        <v>408</v>
      </c>
      <c r="B162">
        <v>45782</v>
      </c>
      <c r="C162" t="s">
        <v>92</v>
      </c>
      <c r="D162" t="s">
        <v>14</v>
      </c>
      <c r="E162" t="s">
        <v>93</v>
      </c>
      <c r="F162">
        <v>38138</v>
      </c>
      <c r="G162" t="s">
        <v>16</v>
      </c>
      <c r="H162" t="s">
        <v>17</v>
      </c>
      <c r="I162">
        <v>47268</v>
      </c>
      <c r="J162">
        <v>9130</v>
      </c>
      <c r="K162" t="s">
        <v>62</v>
      </c>
      <c r="L162" t="s">
        <v>409</v>
      </c>
    </row>
    <row r="163" spans="1:12" x14ac:dyDescent="0.35">
      <c r="A163" t="s">
        <v>410</v>
      </c>
      <c r="B163">
        <v>45789</v>
      </c>
      <c r="C163" t="s">
        <v>92</v>
      </c>
      <c r="D163" t="s">
        <v>31</v>
      </c>
      <c r="E163" t="s">
        <v>184</v>
      </c>
      <c r="F163">
        <v>143065</v>
      </c>
      <c r="G163" t="s">
        <v>38</v>
      </c>
      <c r="H163" t="s">
        <v>17</v>
      </c>
      <c r="I163">
        <v>159177</v>
      </c>
      <c r="J163">
        <v>16112</v>
      </c>
      <c r="K163" t="s">
        <v>66</v>
      </c>
      <c r="L163" t="s">
        <v>411</v>
      </c>
    </row>
    <row r="164" spans="1:12" x14ac:dyDescent="0.35">
      <c r="A164" t="s">
        <v>412</v>
      </c>
      <c r="B164">
        <v>45803</v>
      </c>
      <c r="C164" t="s">
        <v>92</v>
      </c>
      <c r="D164" t="s">
        <v>58</v>
      </c>
      <c r="E164" t="s">
        <v>99</v>
      </c>
      <c r="F164">
        <v>12255</v>
      </c>
      <c r="G164" t="s">
        <v>51</v>
      </c>
      <c r="H164" t="s">
        <v>43</v>
      </c>
      <c r="I164">
        <v>12416</v>
      </c>
      <c r="J164">
        <v>161</v>
      </c>
      <c r="K164" t="s">
        <v>28</v>
      </c>
      <c r="L164" t="s">
        <v>413</v>
      </c>
    </row>
    <row r="165" spans="1:12" x14ac:dyDescent="0.35">
      <c r="A165" t="s">
        <v>414</v>
      </c>
      <c r="B165">
        <v>45790</v>
      </c>
      <c r="C165" t="s">
        <v>114</v>
      </c>
      <c r="D165" t="s">
        <v>58</v>
      </c>
      <c r="E165" t="s">
        <v>124</v>
      </c>
      <c r="F165">
        <v>77416</v>
      </c>
      <c r="G165" t="s">
        <v>38</v>
      </c>
      <c r="H165" t="s">
        <v>17</v>
      </c>
      <c r="I165">
        <v>96080</v>
      </c>
      <c r="J165">
        <v>18664</v>
      </c>
      <c r="K165" t="s">
        <v>86</v>
      </c>
      <c r="L165" t="s">
        <v>415</v>
      </c>
    </row>
    <row r="166" spans="1:12" x14ac:dyDescent="0.35">
      <c r="A166" t="s">
        <v>416</v>
      </c>
      <c r="B166">
        <v>45797</v>
      </c>
      <c r="C166" t="s">
        <v>114</v>
      </c>
      <c r="D166" t="s">
        <v>21</v>
      </c>
      <c r="E166" t="s">
        <v>115</v>
      </c>
      <c r="F166">
        <v>40299</v>
      </c>
      <c r="G166" t="s">
        <v>16</v>
      </c>
      <c r="H166" t="s">
        <v>17</v>
      </c>
      <c r="I166">
        <v>49124</v>
      </c>
      <c r="J166">
        <v>8825</v>
      </c>
      <c r="K166" t="s">
        <v>18</v>
      </c>
      <c r="L166" t="s">
        <v>417</v>
      </c>
    </row>
    <row r="167" spans="1:12" x14ac:dyDescent="0.35">
      <c r="A167" t="s">
        <v>418</v>
      </c>
      <c r="B167">
        <v>45780</v>
      </c>
      <c r="C167" t="s">
        <v>114</v>
      </c>
      <c r="D167" t="s">
        <v>36</v>
      </c>
      <c r="E167" t="s">
        <v>129</v>
      </c>
      <c r="F167">
        <v>12592</v>
      </c>
      <c r="G167" t="s">
        <v>23</v>
      </c>
      <c r="H167" t="s">
        <v>17</v>
      </c>
      <c r="I167">
        <v>14092</v>
      </c>
      <c r="J167">
        <v>1500</v>
      </c>
      <c r="K167" t="s">
        <v>86</v>
      </c>
      <c r="L167" t="s">
        <v>419</v>
      </c>
    </row>
    <row r="168" spans="1:12" x14ac:dyDescent="0.35">
      <c r="A168" t="s">
        <v>420</v>
      </c>
      <c r="B168">
        <v>45785</v>
      </c>
      <c r="C168" t="s">
        <v>114</v>
      </c>
      <c r="D168" t="s">
        <v>58</v>
      </c>
      <c r="E168" t="s">
        <v>124</v>
      </c>
      <c r="F168">
        <v>6952</v>
      </c>
      <c r="G168" t="s">
        <v>23</v>
      </c>
      <c r="H168" t="s">
        <v>17</v>
      </c>
      <c r="I168">
        <v>9987</v>
      </c>
      <c r="J168">
        <v>3035</v>
      </c>
      <c r="K168" t="s">
        <v>80</v>
      </c>
      <c r="L168" t="s">
        <v>421</v>
      </c>
    </row>
    <row r="169" spans="1:12" x14ac:dyDescent="0.35">
      <c r="A169" t="s">
        <v>422</v>
      </c>
      <c r="B169">
        <v>45788</v>
      </c>
      <c r="C169" t="s">
        <v>114</v>
      </c>
      <c r="D169" t="s">
        <v>31</v>
      </c>
      <c r="E169" t="s">
        <v>281</v>
      </c>
      <c r="F169">
        <v>57341</v>
      </c>
      <c r="G169" t="s">
        <v>16</v>
      </c>
      <c r="H169" t="s">
        <v>43</v>
      </c>
      <c r="I169">
        <v>65443</v>
      </c>
      <c r="J169">
        <v>8102</v>
      </c>
      <c r="K169" t="s">
        <v>18</v>
      </c>
      <c r="L169" t="s">
        <v>423</v>
      </c>
    </row>
    <row r="170" spans="1:12" x14ac:dyDescent="0.35">
      <c r="A170" t="s">
        <v>424</v>
      </c>
      <c r="B170">
        <v>45781</v>
      </c>
      <c r="C170" t="s">
        <v>114</v>
      </c>
      <c r="D170" t="s">
        <v>21</v>
      </c>
      <c r="E170" t="s">
        <v>115</v>
      </c>
      <c r="F170">
        <v>114285</v>
      </c>
      <c r="G170" t="s">
        <v>23</v>
      </c>
      <c r="H170" t="s">
        <v>17</v>
      </c>
      <c r="I170">
        <v>141639</v>
      </c>
      <c r="J170">
        <v>27354</v>
      </c>
      <c r="K170" t="s">
        <v>66</v>
      </c>
      <c r="L170" t="s">
        <v>425</v>
      </c>
    </row>
    <row r="171" spans="1:12" x14ac:dyDescent="0.35">
      <c r="A171" t="s">
        <v>426</v>
      </c>
      <c r="B171">
        <v>45804</v>
      </c>
      <c r="C171" t="s">
        <v>114</v>
      </c>
      <c r="D171" t="s">
        <v>26</v>
      </c>
      <c r="E171" t="s">
        <v>119</v>
      </c>
      <c r="F171">
        <v>4554</v>
      </c>
      <c r="G171" t="s">
        <v>16</v>
      </c>
      <c r="H171" t="s">
        <v>17</v>
      </c>
      <c r="I171">
        <v>6160</v>
      </c>
      <c r="J171">
        <v>1606</v>
      </c>
      <c r="K171" t="s">
        <v>69</v>
      </c>
      <c r="L171" t="s">
        <v>427</v>
      </c>
    </row>
    <row r="172" spans="1:12" x14ac:dyDescent="0.35">
      <c r="A172" t="s">
        <v>428</v>
      </c>
      <c r="B172">
        <v>45805</v>
      </c>
      <c r="C172" t="s">
        <v>114</v>
      </c>
      <c r="D172" t="s">
        <v>54</v>
      </c>
      <c r="E172" t="s">
        <v>196</v>
      </c>
      <c r="F172">
        <v>13782</v>
      </c>
      <c r="G172" t="s">
        <v>51</v>
      </c>
      <c r="H172" t="s">
        <v>43</v>
      </c>
      <c r="I172">
        <v>17582</v>
      </c>
      <c r="J172">
        <v>3800</v>
      </c>
      <c r="K172" t="s">
        <v>66</v>
      </c>
      <c r="L172" t="s">
        <v>429</v>
      </c>
    </row>
    <row r="173" spans="1:12" x14ac:dyDescent="0.35">
      <c r="A173" t="s">
        <v>430</v>
      </c>
      <c r="B173">
        <v>45822</v>
      </c>
      <c r="C173" t="s">
        <v>13</v>
      </c>
      <c r="D173" t="s">
        <v>14</v>
      </c>
      <c r="E173" t="s">
        <v>15</v>
      </c>
      <c r="F173">
        <v>5538</v>
      </c>
      <c r="G173" t="s">
        <v>38</v>
      </c>
      <c r="H173" t="s">
        <v>17</v>
      </c>
      <c r="I173">
        <v>6498</v>
      </c>
      <c r="J173">
        <v>960</v>
      </c>
      <c r="K173" t="s">
        <v>62</v>
      </c>
      <c r="L173" t="s">
        <v>431</v>
      </c>
    </row>
    <row r="174" spans="1:12" x14ac:dyDescent="0.35">
      <c r="A174" t="s">
        <v>432</v>
      </c>
      <c r="B174">
        <v>45832</v>
      </c>
      <c r="C174" t="s">
        <v>13</v>
      </c>
      <c r="D174" t="s">
        <v>21</v>
      </c>
      <c r="E174" t="s">
        <v>22</v>
      </c>
      <c r="F174">
        <v>146575</v>
      </c>
      <c r="G174" t="s">
        <v>51</v>
      </c>
      <c r="H174" t="s">
        <v>17</v>
      </c>
      <c r="I174">
        <v>163470</v>
      </c>
      <c r="J174">
        <v>16895</v>
      </c>
      <c r="K174" t="s">
        <v>33</v>
      </c>
      <c r="L174" t="s">
        <v>433</v>
      </c>
    </row>
    <row r="175" spans="1:12" x14ac:dyDescent="0.35">
      <c r="A175" t="s">
        <v>434</v>
      </c>
      <c r="B175">
        <v>45829</v>
      </c>
      <c r="C175" t="s">
        <v>13</v>
      </c>
      <c r="D175" t="s">
        <v>58</v>
      </c>
      <c r="E175" t="s">
        <v>287</v>
      </c>
      <c r="F175">
        <v>35815</v>
      </c>
      <c r="G175" t="s">
        <v>38</v>
      </c>
      <c r="H175" t="s">
        <v>17</v>
      </c>
      <c r="I175">
        <v>48321</v>
      </c>
      <c r="J175">
        <v>12506</v>
      </c>
      <c r="K175" t="s">
        <v>80</v>
      </c>
      <c r="L175" t="s">
        <v>435</v>
      </c>
    </row>
    <row r="176" spans="1:12" x14ac:dyDescent="0.35">
      <c r="A176" t="s">
        <v>436</v>
      </c>
      <c r="B176">
        <v>45821</v>
      </c>
      <c r="C176" t="s">
        <v>13</v>
      </c>
      <c r="D176" t="s">
        <v>58</v>
      </c>
      <c r="E176" t="s">
        <v>287</v>
      </c>
      <c r="F176">
        <v>40428</v>
      </c>
      <c r="G176" t="s">
        <v>16</v>
      </c>
      <c r="H176" t="s">
        <v>17</v>
      </c>
      <c r="I176">
        <v>46047</v>
      </c>
      <c r="J176">
        <v>5619</v>
      </c>
      <c r="K176" t="s">
        <v>80</v>
      </c>
      <c r="L176" t="s">
        <v>437</v>
      </c>
    </row>
    <row r="177" spans="1:12" x14ac:dyDescent="0.35">
      <c r="A177" t="s">
        <v>438</v>
      </c>
      <c r="B177">
        <v>45821</v>
      </c>
      <c r="C177" t="s">
        <v>13</v>
      </c>
      <c r="D177" t="s">
        <v>36</v>
      </c>
      <c r="E177" t="s">
        <v>139</v>
      </c>
      <c r="F177">
        <v>69927</v>
      </c>
      <c r="G177" t="s">
        <v>38</v>
      </c>
      <c r="H177" t="s">
        <v>17</v>
      </c>
      <c r="I177">
        <v>70586</v>
      </c>
      <c r="J177">
        <v>659</v>
      </c>
      <c r="K177" t="s">
        <v>80</v>
      </c>
      <c r="L177" t="s">
        <v>439</v>
      </c>
    </row>
    <row r="178" spans="1:12" x14ac:dyDescent="0.35">
      <c r="A178" t="s">
        <v>440</v>
      </c>
      <c r="B178">
        <v>45822</v>
      </c>
      <c r="C178" t="s">
        <v>13</v>
      </c>
      <c r="D178" t="s">
        <v>26</v>
      </c>
      <c r="E178" t="s">
        <v>27</v>
      </c>
      <c r="F178">
        <v>3607</v>
      </c>
      <c r="G178" t="s">
        <v>23</v>
      </c>
      <c r="H178" t="s">
        <v>17</v>
      </c>
      <c r="I178">
        <v>3940</v>
      </c>
      <c r="J178">
        <v>333</v>
      </c>
      <c r="K178" t="s">
        <v>80</v>
      </c>
      <c r="L178" t="s">
        <v>441</v>
      </c>
    </row>
    <row r="179" spans="1:12" x14ac:dyDescent="0.35">
      <c r="A179" t="s">
        <v>442</v>
      </c>
      <c r="B179">
        <v>45833</v>
      </c>
      <c r="C179" t="s">
        <v>13</v>
      </c>
      <c r="D179" t="s">
        <v>54</v>
      </c>
      <c r="E179" t="s">
        <v>136</v>
      </c>
      <c r="F179">
        <v>1425</v>
      </c>
      <c r="G179" t="s">
        <v>16</v>
      </c>
      <c r="H179" t="s">
        <v>17</v>
      </c>
      <c r="I179">
        <v>2073</v>
      </c>
      <c r="J179">
        <v>648</v>
      </c>
      <c r="K179" t="s">
        <v>28</v>
      </c>
      <c r="L179" t="s">
        <v>443</v>
      </c>
    </row>
    <row r="180" spans="1:12" x14ac:dyDescent="0.35">
      <c r="A180" t="s">
        <v>444</v>
      </c>
      <c r="B180">
        <v>45828</v>
      </c>
      <c r="C180" t="s">
        <v>13</v>
      </c>
      <c r="D180" t="s">
        <v>58</v>
      </c>
      <c r="E180" t="s">
        <v>287</v>
      </c>
      <c r="F180">
        <v>49688</v>
      </c>
      <c r="G180" t="s">
        <v>38</v>
      </c>
      <c r="H180" t="s">
        <v>17</v>
      </c>
      <c r="I180">
        <v>67719</v>
      </c>
      <c r="J180">
        <v>18031</v>
      </c>
      <c r="K180" t="s">
        <v>80</v>
      </c>
      <c r="L180" t="s">
        <v>445</v>
      </c>
    </row>
    <row r="181" spans="1:12" x14ac:dyDescent="0.35">
      <c r="A181" t="s">
        <v>446</v>
      </c>
      <c r="B181">
        <v>45818</v>
      </c>
      <c r="C181" t="s">
        <v>21</v>
      </c>
      <c r="D181" t="s">
        <v>36</v>
      </c>
      <c r="E181" t="s">
        <v>37</v>
      </c>
      <c r="F181">
        <v>99541</v>
      </c>
      <c r="G181" t="s">
        <v>38</v>
      </c>
      <c r="H181" t="s">
        <v>17</v>
      </c>
      <c r="I181">
        <v>145951</v>
      </c>
      <c r="J181">
        <v>46410</v>
      </c>
      <c r="K181" t="s">
        <v>28</v>
      </c>
      <c r="L181" t="s">
        <v>447</v>
      </c>
    </row>
    <row r="182" spans="1:12" x14ac:dyDescent="0.35">
      <c r="A182" t="s">
        <v>448</v>
      </c>
      <c r="B182">
        <v>45823</v>
      </c>
      <c r="C182" t="s">
        <v>21</v>
      </c>
      <c r="D182" t="s">
        <v>132</v>
      </c>
      <c r="E182" t="s">
        <v>153</v>
      </c>
      <c r="F182">
        <v>8326</v>
      </c>
      <c r="G182" t="s">
        <v>51</v>
      </c>
      <c r="H182" t="s">
        <v>17</v>
      </c>
      <c r="I182">
        <v>12324</v>
      </c>
      <c r="J182">
        <v>3998</v>
      </c>
      <c r="K182" t="s">
        <v>80</v>
      </c>
      <c r="L182" t="s">
        <v>449</v>
      </c>
    </row>
    <row r="183" spans="1:12" x14ac:dyDescent="0.35">
      <c r="A183" t="s">
        <v>450</v>
      </c>
      <c r="B183">
        <v>45833</v>
      </c>
      <c r="C183" t="s">
        <v>21</v>
      </c>
      <c r="D183" t="s">
        <v>132</v>
      </c>
      <c r="E183" t="s">
        <v>153</v>
      </c>
      <c r="F183">
        <v>5802</v>
      </c>
      <c r="G183" t="s">
        <v>16</v>
      </c>
      <c r="H183" t="s">
        <v>17</v>
      </c>
      <c r="I183">
        <v>8700</v>
      </c>
      <c r="J183">
        <v>2898</v>
      </c>
      <c r="K183" t="s">
        <v>28</v>
      </c>
      <c r="L183" t="s">
        <v>451</v>
      </c>
    </row>
    <row r="184" spans="1:12" x14ac:dyDescent="0.35">
      <c r="A184" t="s">
        <v>452</v>
      </c>
      <c r="B184">
        <v>45830</v>
      </c>
      <c r="C184" t="s">
        <v>21</v>
      </c>
      <c r="D184" t="s">
        <v>58</v>
      </c>
      <c r="E184" t="s">
        <v>301</v>
      </c>
      <c r="F184">
        <v>40949</v>
      </c>
      <c r="G184" t="s">
        <v>16</v>
      </c>
      <c r="H184" t="s">
        <v>43</v>
      </c>
      <c r="I184">
        <v>48355</v>
      </c>
      <c r="J184">
        <v>7406</v>
      </c>
      <c r="K184" t="s">
        <v>80</v>
      </c>
      <c r="L184" t="s">
        <v>453</v>
      </c>
    </row>
    <row r="185" spans="1:12" x14ac:dyDescent="0.35">
      <c r="A185" t="s">
        <v>454</v>
      </c>
      <c r="B185">
        <v>45835</v>
      </c>
      <c r="C185" t="s">
        <v>21</v>
      </c>
      <c r="D185" t="s">
        <v>132</v>
      </c>
      <c r="E185" t="s">
        <v>153</v>
      </c>
      <c r="F185">
        <v>21626</v>
      </c>
      <c r="G185" t="s">
        <v>16</v>
      </c>
      <c r="H185" t="s">
        <v>17</v>
      </c>
      <c r="I185">
        <v>28771</v>
      </c>
      <c r="J185">
        <v>7145</v>
      </c>
      <c r="K185" t="s">
        <v>69</v>
      </c>
      <c r="L185" t="s">
        <v>455</v>
      </c>
    </row>
    <row r="186" spans="1:12" x14ac:dyDescent="0.35">
      <c r="A186" t="s">
        <v>456</v>
      </c>
      <c r="B186">
        <v>45810</v>
      </c>
      <c r="C186" t="s">
        <v>21</v>
      </c>
      <c r="D186" t="s">
        <v>58</v>
      </c>
      <c r="E186" t="s">
        <v>301</v>
      </c>
      <c r="F186">
        <v>62659</v>
      </c>
      <c r="G186" t="s">
        <v>16</v>
      </c>
      <c r="H186" t="s">
        <v>17</v>
      </c>
      <c r="I186">
        <v>62937</v>
      </c>
      <c r="J186">
        <v>278</v>
      </c>
      <c r="K186" t="s">
        <v>116</v>
      </c>
      <c r="L186" t="s">
        <v>457</v>
      </c>
    </row>
    <row r="187" spans="1:12" x14ac:dyDescent="0.35">
      <c r="A187" t="s">
        <v>458</v>
      </c>
      <c r="B187">
        <v>45811</v>
      </c>
      <c r="C187" t="s">
        <v>21</v>
      </c>
      <c r="D187" t="s">
        <v>36</v>
      </c>
      <c r="E187" t="s">
        <v>37</v>
      </c>
      <c r="F187">
        <v>12678</v>
      </c>
      <c r="G187" t="s">
        <v>16</v>
      </c>
      <c r="H187" t="s">
        <v>43</v>
      </c>
      <c r="I187">
        <v>16352</v>
      </c>
      <c r="J187">
        <v>3674</v>
      </c>
      <c r="K187" t="s">
        <v>116</v>
      </c>
      <c r="L187" t="s">
        <v>459</v>
      </c>
    </row>
    <row r="188" spans="1:12" x14ac:dyDescent="0.35">
      <c r="A188" t="s">
        <v>460</v>
      </c>
      <c r="B188">
        <v>45834</v>
      </c>
      <c r="C188" t="s">
        <v>46</v>
      </c>
      <c r="D188" t="s">
        <v>31</v>
      </c>
      <c r="E188" t="s">
        <v>50</v>
      </c>
      <c r="F188">
        <v>57134</v>
      </c>
      <c r="G188" t="s">
        <v>16</v>
      </c>
      <c r="H188" t="s">
        <v>17</v>
      </c>
      <c r="I188">
        <v>64504</v>
      </c>
      <c r="J188">
        <v>7370</v>
      </c>
      <c r="K188" t="s">
        <v>69</v>
      </c>
      <c r="L188" t="s">
        <v>461</v>
      </c>
    </row>
    <row r="189" spans="1:12" x14ac:dyDescent="0.35">
      <c r="A189" t="s">
        <v>462</v>
      </c>
      <c r="B189">
        <v>45836</v>
      </c>
      <c r="C189" t="s">
        <v>46</v>
      </c>
      <c r="D189" t="s">
        <v>26</v>
      </c>
      <c r="E189" t="s">
        <v>171</v>
      </c>
      <c r="F189">
        <v>5663</v>
      </c>
      <c r="G189" t="s">
        <v>23</v>
      </c>
      <c r="H189" t="s">
        <v>17</v>
      </c>
      <c r="I189">
        <v>6157</v>
      </c>
      <c r="J189">
        <v>494</v>
      </c>
      <c r="K189" t="s">
        <v>62</v>
      </c>
      <c r="L189" t="s">
        <v>463</v>
      </c>
    </row>
    <row r="190" spans="1:12" x14ac:dyDescent="0.35">
      <c r="A190" t="s">
        <v>464</v>
      </c>
      <c r="B190">
        <v>45836</v>
      </c>
      <c r="C190" t="s">
        <v>46</v>
      </c>
      <c r="D190" t="s">
        <v>58</v>
      </c>
      <c r="E190" t="s">
        <v>59</v>
      </c>
      <c r="F190">
        <v>29150</v>
      </c>
      <c r="G190" t="s">
        <v>38</v>
      </c>
      <c r="H190" t="s">
        <v>43</v>
      </c>
      <c r="I190">
        <v>39126</v>
      </c>
      <c r="J190">
        <v>9976</v>
      </c>
      <c r="K190" t="s">
        <v>33</v>
      </c>
      <c r="L190" t="s">
        <v>465</v>
      </c>
    </row>
    <row r="191" spans="1:12" x14ac:dyDescent="0.35">
      <c r="A191" t="s">
        <v>466</v>
      </c>
      <c r="B191">
        <v>45817</v>
      </c>
      <c r="C191" t="s">
        <v>72</v>
      </c>
      <c r="D191" t="s">
        <v>26</v>
      </c>
      <c r="E191" t="s">
        <v>250</v>
      </c>
      <c r="F191">
        <v>998</v>
      </c>
      <c r="G191" t="s">
        <v>16</v>
      </c>
      <c r="H191" t="s">
        <v>17</v>
      </c>
      <c r="I191">
        <v>1473</v>
      </c>
      <c r="J191">
        <v>475</v>
      </c>
      <c r="K191" t="s">
        <v>33</v>
      </c>
      <c r="L191" t="s">
        <v>467</v>
      </c>
    </row>
    <row r="192" spans="1:12" x14ac:dyDescent="0.35">
      <c r="A192" t="s">
        <v>468</v>
      </c>
      <c r="B192">
        <v>45811</v>
      </c>
      <c r="C192" t="s">
        <v>72</v>
      </c>
      <c r="D192" t="s">
        <v>58</v>
      </c>
      <c r="E192" t="s">
        <v>83</v>
      </c>
      <c r="F192">
        <v>35762</v>
      </c>
      <c r="G192" t="s">
        <v>38</v>
      </c>
      <c r="H192" t="s">
        <v>17</v>
      </c>
      <c r="I192">
        <v>42016</v>
      </c>
      <c r="J192">
        <v>6254</v>
      </c>
      <c r="K192" t="s">
        <v>116</v>
      </c>
      <c r="L192" t="s">
        <v>469</v>
      </c>
    </row>
    <row r="193" spans="1:12" x14ac:dyDescent="0.35">
      <c r="A193" t="s">
        <v>470</v>
      </c>
      <c r="B193">
        <v>45820</v>
      </c>
      <c r="C193" t="s">
        <v>72</v>
      </c>
      <c r="D193" t="s">
        <v>26</v>
      </c>
      <c r="E193" t="s">
        <v>250</v>
      </c>
      <c r="F193">
        <v>2171</v>
      </c>
      <c r="G193" t="s">
        <v>38</v>
      </c>
      <c r="H193" t="s">
        <v>17</v>
      </c>
      <c r="I193">
        <v>2525</v>
      </c>
      <c r="J193">
        <v>354</v>
      </c>
      <c r="K193" t="s">
        <v>86</v>
      </c>
      <c r="L193" t="s">
        <v>471</v>
      </c>
    </row>
    <row r="194" spans="1:12" x14ac:dyDescent="0.35">
      <c r="A194" t="s">
        <v>472</v>
      </c>
      <c r="B194">
        <v>45834</v>
      </c>
      <c r="C194" t="s">
        <v>72</v>
      </c>
      <c r="D194" t="s">
        <v>21</v>
      </c>
      <c r="E194" t="s">
        <v>73</v>
      </c>
      <c r="F194">
        <v>16473</v>
      </c>
      <c r="G194" t="s">
        <v>16</v>
      </c>
      <c r="H194" t="s">
        <v>17</v>
      </c>
      <c r="I194">
        <v>19163</v>
      </c>
      <c r="J194">
        <v>2690</v>
      </c>
      <c r="K194" t="s">
        <v>86</v>
      </c>
      <c r="L194" t="s">
        <v>473</v>
      </c>
    </row>
    <row r="195" spans="1:12" x14ac:dyDescent="0.35">
      <c r="A195" t="s">
        <v>474</v>
      </c>
      <c r="B195">
        <v>45818</v>
      </c>
      <c r="C195" t="s">
        <v>72</v>
      </c>
      <c r="D195" t="s">
        <v>54</v>
      </c>
      <c r="E195" t="s">
        <v>79</v>
      </c>
      <c r="F195">
        <v>8711</v>
      </c>
      <c r="G195" t="s">
        <v>23</v>
      </c>
      <c r="H195" t="s">
        <v>17</v>
      </c>
      <c r="I195">
        <v>12816</v>
      </c>
      <c r="J195">
        <v>4105</v>
      </c>
      <c r="K195" t="s">
        <v>33</v>
      </c>
      <c r="L195" t="s">
        <v>475</v>
      </c>
    </row>
    <row r="196" spans="1:12" x14ac:dyDescent="0.35">
      <c r="A196" t="s">
        <v>476</v>
      </c>
      <c r="B196">
        <v>45809</v>
      </c>
      <c r="C196" t="s">
        <v>72</v>
      </c>
      <c r="D196" t="s">
        <v>132</v>
      </c>
      <c r="E196" t="s">
        <v>247</v>
      </c>
      <c r="F196">
        <v>7917</v>
      </c>
      <c r="G196" t="s">
        <v>23</v>
      </c>
      <c r="H196" t="s">
        <v>43</v>
      </c>
      <c r="I196">
        <v>11527</v>
      </c>
      <c r="J196">
        <v>3610</v>
      </c>
      <c r="K196" t="s">
        <v>18</v>
      </c>
      <c r="L196" t="s">
        <v>477</v>
      </c>
    </row>
    <row r="197" spans="1:12" x14ac:dyDescent="0.35">
      <c r="A197" t="s">
        <v>478</v>
      </c>
      <c r="B197">
        <v>45827</v>
      </c>
      <c r="C197" t="s">
        <v>72</v>
      </c>
      <c r="D197" t="s">
        <v>54</v>
      </c>
      <c r="E197" t="s">
        <v>79</v>
      </c>
      <c r="F197">
        <v>4520</v>
      </c>
      <c r="G197" t="s">
        <v>23</v>
      </c>
      <c r="H197" t="s">
        <v>17</v>
      </c>
      <c r="I197">
        <v>5376</v>
      </c>
      <c r="J197">
        <v>856</v>
      </c>
      <c r="K197" t="s">
        <v>86</v>
      </c>
      <c r="L197" t="s">
        <v>479</v>
      </c>
    </row>
    <row r="198" spans="1:12" x14ac:dyDescent="0.35">
      <c r="A198" t="s">
        <v>480</v>
      </c>
      <c r="B198">
        <v>45827</v>
      </c>
      <c r="C198" t="s">
        <v>92</v>
      </c>
      <c r="D198" t="s">
        <v>14</v>
      </c>
      <c r="E198" t="s">
        <v>93</v>
      </c>
      <c r="F198">
        <v>16718</v>
      </c>
      <c r="G198" t="s">
        <v>38</v>
      </c>
      <c r="H198" t="s">
        <v>43</v>
      </c>
      <c r="I198">
        <v>21444</v>
      </c>
      <c r="J198">
        <v>4726</v>
      </c>
      <c r="K198" t="s">
        <v>62</v>
      </c>
      <c r="L198" t="s">
        <v>481</v>
      </c>
    </row>
    <row r="199" spans="1:12" x14ac:dyDescent="0.35">
      <c r="A199" t="s">
        <v>482</v>
      </c>
      <c r="B199">
        <v>45825</v>
      </c>
      <c r="C199" t="s">
        <v>92</v>
      </c>
      <c r="D199" t="s">
        <v>58</v>
      </c>
      <c r="E199" t="s">
        <v>99</v>
      </c>
      <c r="F199">
        <v>66909</v>
      </c>
      <c r="G199" t="s">
        <v>38</v>
      </c>
      <c r="H199" t="s">
        <v>17</v>
      </c>
      <c r="I199">
        <v>88962</v>
      </c>
      <c r="J199">
        <v>22053</v>
      </c>
      <c r="K199" t="s">
        <v>66</v>
      </c>
      <c r="L199" t="s">
        <v>483</v>
      </c>
    </row>
    <row r="200" spans="1:12" x14ac:dyDescent="0.35">
      <c r="A200" t="s">
        <v>484</v>
      </c>
      <c r="B200">
        <v>45834</v>
      </c>
      <c r="C200" t="s">
        <v>92</v>
      </c>
      <c r="D200" t="s">
        <v>132</v>
      </c>
      <c r="E200" t="s">
        <v>338</v>
      </c>
      <c r="F200">
        <v>10996</v>
      </c>
      <c r="G200" t="s">
        <v>16</v>
      </c>
      <c r="H200" t="s">
        <v>17</v>
      </c>
      <c r="I200">
        <v>12803</v>
      </c>
      <c r="J200">
        <v>1807</v>
      </c>
      <c r="K200" t="s">
        <v>69</v>
      </c>
      <c r="L200" t="s">
        <v>485</v>
      </c>
    </row>
    <row r="201" spans="1:12" x14ac:dyDescent="0.35">
      <c r="A201" t="s">
        <v>486</v>
      </c>
      <c r="B201">
        <v>45832</v>
      </c>
      <c r="C201" t="s">
        <v>114</v>
      </c>
      <c r="D201" t="s">
        <v>14</v>
      </c>
      <c r="E201" t="s">
        <v>284</v>
      </c>
      <c r="F201">
        <v>47421</v>
      </c>
      <c r="G201" t="s">
        <v>38</v>
      </c>
      <c r="H201" t="s">
        <v>17</v>
      </c>
      <c r="I201">
        <v>53136</v>
      </c>
      <c r="J201">
        <v>5715</v>
      </c>
      <c r="K201" t="s">
        <v>62</v>
      </c>
      <c r="L201" t="s">
        <v>487</v>
      </c>
    </row>
    <row r="202" spans="1:12" x14ac:dyDescent="0.35">
      <c r="A202" t="s">
        <v>488</v>
      </c>
      <c r="B202">
        <v>45828</v>
      </c>
      <c r="C202" t="s">
        <v>114</v>
      </c>
      <c r="D202" t="s">
        <v>14</v>
      </c>
      <c r="E202" t="s">
        <v>284</v>
      </c>
      <c r="F202">
        <v>25743</v>
      </c>
      <c r="G202" t="s">
        <v>51</v>
      </c>
      <c r="H202" t="s">
        <v>17</v>
      </c>
      <c r="I202">
        <v>34152</v>
      </c>
      <c r="J202">
        <v>8409</v>
      </c>
      <c r="K202" t="s">
        <v>86</v>
      </c>
      <c r="L202" t="s">
        <v>489</v>
      </c>
    </row>
    <row r="203" spans="1:12" x14ac:dyDescent="0.35">
      <c r="A203" t="s">
        <v>490</v>
      </c>
      <c r="B203">
        <v>45822</v>
      </c>
      <c r="C203" t="s">
        <v>114</v>
      </c>
      <c r="D203" t="s">
        <v>21</v>
      </c>
      <c r="E203" t="s">
        <v>115</v>
      </c>
      <c r="F203">
        <v>74210</v>
      </c>
      <c r="G203" t="s">
        <v>51</v>
      </c>
      <c r="H203" t="s">
        <v>43</v>
      </c>
      <c r="I203">
        <v>103020</v>
      </c>
      <c r="J203">
        <v>28810</v>
      </c>
      <c r="K203" t="s">
        <v>66</v>
      </c>
      <c r="L203" t="s">
        <v>491</v>
      </c>
    </row>
    <row r="204" spans="1:12" x14ac:dyDescent="0.35">
      <c r="A204" t="s">
        <v>492</v>
      </c>
      <c r="B204">
        <v>45822</v>
      </c>
      <c r="C204" t="s">
        <v>114</v>
      </c>
      <c r="D204" t="s">
        <v>54</v>
      </c>
      <c r="E204" t="s">
        <v>196</v>
      </c>
      <c r="F204">
        <v>6142</v>
      </c>
      <c r="G204" t="s">
        <v>38</v>
      </c>
      <c r="H204" t="s">
        <v>43</v>
      </c>
      <c r="I204">
        <v>6504</v>
      </c>
      <c r="J204">
        <v>362</v>
      </c>
      <c r="K204" t="s">
        <v>39</v>
      </c>
      <c r="L204" t="s">
        <v>493</v>
      </c>
    </row>
    <row r="205" spans="1:12" x14ac:dyDescent="0.35">
      <c r="A205" t="s">
        <v>494</v>
      </c>
      <c r="B205">
        <v>45815</v>
      </c>
      <c r="C205" t="s">
        <v>114</v>
      </c>
      <c r="D205" t="s">
        <v>31</v>
      </c>
      <c r="E205" t="s">
        <v>281</v>
      </c>
      <c r="F205">
        <v>175840</v>
      </c>
      <c r="G205" t="s">
        <v>51</v>
      </c>
      <c r="H205" t="s">
        <v>17</v>
      </c>
      <c r="I205">
        <v>253336</v>
      </c>
      <c r="J205">
        <v>77496</v>
      </c>
      <c r="K205" t="s">
        <v>80</v>
      </c>
      <c r="L205" t="s">
        <v>495</v>
      </c>
    </row>
    <row r="206" spans="1:12" x14ac:dyDescent="0.35">
      <c r="A206" t="s">
        <v>496</v>
      </c>
      <c r="B206">
        <v>45826</v>
      </c>
      <c r="C206" t="s">
        <v>114</v>
      </c>
      <c r="D206" t="s">
        <v>14</v>
      </c>
      <c r="E206" t="s">
        <v>284</v>
      </c>
      <c r="F206">
        <v>29435</v>
      </c>
      <c r="G206" t="s">
        <v>38</v>
      </c>
      <c r="H206" t="s">
        <v>17</v>
      </c>
      <c r="I206">
        <v>33311</v>
      </c>
      <c r="J206">
        <v>3876</v>
      </c>
      <c r="K206" t="s">
        <v>39</v>
      </c>
      <c r="L206" t="s">
        <v>497</v>
      </c>
    </row>
    <row r="207" spans="1:12" x14ac:dyDescent="0.35">
      <c r="A207" t="s">
        <v>498</v>
      </c>
      <c r="B207">
        <v>45811</v>
      </c>
      <c r="C207" t="s">
        <v>114</v>
      </c>
      <c r="D207" t="s">
        <v>36</v>
      </c>
      <c r="E207" t="s">
        <v>129</v>
      </c>
      <c r="F207">
        <v>8136</v>
      </c>
      <c r="G207" t="s">
        <v>51</v>
      </c>
      <c r="H207" t="s">
        <v>43</v>
      </c>
      <c r="I207">
        <v>10943</v>
      </c>
      <c r="J207">
        <v>2807</v>
      </c>
      <c r="K207" t="s">
        <v>116</v>
      </c>
      <c r="L207" t="s">
        <v>499</v>
      </c>
    </row>
    <row r="208" spans="1:12" x14ac:dyDescent="0.35">
      <c r="A208" t="s">
        <v>500</v>
      </c>
      <c r="B208">
        <v>45831</v>
      </c>
      <c r="C208" t="s">
        <v>114</v>
      </c>
      <c r="D208" t="s">
        <v>36</v>
      </c>
      <c r="E208" t="s">
        <v>129</v>
      </c>
      <c r="F208">
        <v>51447</v>
      </c>
      <c r="G208" t="s">
        <v>51</v>
      </c>
      <c r="H208" t="s">
        <v>17</v>
      </c>
      <c r="I208">
        <v>54726</v>
      </c>
      <c r="J208">
        <v>3279</v>
      </c>
      <c r="K208" t="s">
        <v>62</v>
      </c>
      <c r="L208" t="s">
        <v>501</v>
      </c>
    </row>
    <row r="209" spans="1:12" x14ac:dyDescent="0.35">
      <c r="A209" t="s">
        <v>502</v>
      </c>
      <c r="B209">
        <v>45862</v>
      </c>
      <c r="C209" t="s">
        <v>13</v>
      </c>
      <c r="D209" t="s">
        <v>14</v>
      </c>
      <c r="E209" t="s">
        <v>15</v>
      </c>
      <c r="F209">
        <v>49328</v>
      </c>
      <c r="G209" t="s">
        <v>16</v>
      </c>
      <c r="H209" t="s">
        <v>17</v>
      </c>
      <c r="I209">
        <v>50444</v>
      </c>
      <c r="J209">
        <v>1116</v>
      </c>
      <c r="K209" t="s">
        <v>86</v>
      </c>
      <c r="L209" t="s">
        <v>503</v>
      </c>
    </row>
    <row r="210" spans="1:12" x14ac:dyDescent="0.35">
      <c r="A210" t="s">
        <v>504</v>
      </c>
      <c r="B210">
        <v>45854</v>
      </c>
      <c r="C210" t="s">
        <v>13</v>
      </c>
      <c r="D210" t="s">
        <v>31</v>
      </c>
      <c r="E210" t="s">
        <v>290</v>
      </c>
      <c r="F210">
        <v>124213</v>
      </c>
      <c r="G210" t="s">
        <v>51</v>
      </c>
      <c r="H210" t="s">
        <v>17</v>
      </c>
      <c r="I210">
        <v>142180</v>
      </c>
      <c r="J210">
        <v>17967</v>
      </c>
      <c r="K210" t="s">
        <v>28</v>
      </c>
      <c r="L210" t="s">
        <v>505</v>
      </c>
    </row>
    <row r="211" spans="1:12" x14ac:dyDescent="0.35">
      <c r="A211" t="s">
        <v>506</v>
      </c>
      <c r="B211">
        <v>45857</v>
      </c>
      <c r="C211" t="s">
        <v>13</v>
      </c>
      <c r="D211" t="s">
        <v>14</v>
      </c>
      <c r="E211" t="s">
        <v>15</v>
      </c>
      <c r="F211">
        <v>11978</v>
      </c>
      <c r="G211" t="s">
        <v>16</v>
      </c>
      <c r="H211" t="s">
        <v>17</v>
      </c>
      <c r="I211">
        <v>17342</v>
      </c>
      <c r="J211">
        <v>5364</v>
      </c>
      <c r="K211" t="s">
        <v>86</v>
      </c>
      <c r="L211" t="s">
        <v>507</v>
      </c>
    </row>
    <row r="212" spans="1:12" x14ac:dyDescent="0.35">
      <c r="A212" t="s">
        <v>508</v>
      </c>
      <c r="B212">
        <v>45857</v>
      </c>
      <c r="C212" t="s">
        <v>13</v>
      </c>
      <c r="D212" t="s">
        <v>31</v>
      </c>
      <c r="E212" t="s">
        <v>290</v>
      </c>
      <c r="F212">
        <v>56326</v>
      </c>
      <c r="G212" t="s">
        <v>16</v>
      </c>
      <c r="H212" t="s">
        <v>17</v>
      </c>
      <c r="I212">
        <v>70652</v>
      </c>
      <c r="J212">
        <v>14326</v>
      </c>
      <c r="K212" t="s">
        <v>18</v>
      </c>
      <c r="L212" t="s">
        <v>509</v>
      </c>
    </row>
    <row r="213" spans="1:12" x14ac:dyDescent="0.35">
      <c r="A213" t="s">
        <v>510</v>
      </c>
      <c r="B213">
        <v>45855</v>
      </c>
      <c r="C213" t="s">
        <v>13</v>
      </c>
      <c r="D213" t="s">
        <v>31</v>
      </c>
      <c r="E213" t="s">
        <v>290</v>
      </c>
      <c r="F213">
        <v>99421</v>
      </c>
      <c r="G213" t="s">
        <v>38</v>
      </c>
      <c r="H213" t="s">
        <v>17</v>
      </c>
      <c r="I213">
        <v>101821</v>
      </c>
      <c r="J213">
        <v>2400</v>
      </c>
      <c r="K213" t="s">
        <v>33</v>
      </c>
      <c r="L213" t="s">
        <v>511</v>
      </c>
    </row>
    <row r="214" spans="1:12" x14ac:dyDescent="0.35">
      <c r="A214" t="s">
        <v>512</v>
      </c>
      <c r="B214">
        <v>45862</v>
      </c>
      <c r="C214" t="s">
        <v>21</v>
      </c>
      <c r="D214" t="s">
        <v>21</v>
      </c>
      <c r="E214" t="s">
        <v>513</v>
      </c>
      <c r="F214">
        <v>47538</v>
      </c>
      <c r="G214" t="s">
        <v>51</v>
      </c>
      <c r="H214" t="s">
        <v>17</v>
      </c>
      <c r="I214">
        <v>48535</v>
      </c>
      <c r="J214">
        <v>997</v>
      </c>
      <c r="K214" t="s">
        <v>116</v>
      </c>
      <c r="L214" t="s">
        <v>514</v>
      </c>
    </row>
    <row r="215" spans="1:12" x14ac:dyDescent="0.35">
      <c r="A215" t="s">
        <v>515</v>
      </c>
      <c r="B215">
        <v>45844</v>
      </c>
      <c r="C215" t="s">
        <v>21</v>
      </c>
      <c r="D215" t="s">
        <v>54</v>
      </c>
      <c r="E215" t="s">
        <v>158</v>
      </c>
      <c r="F215">
        <v>2629</v>
      </c>
      <c r="G215" t="s">
        <v>23</v>
      </c>
      <c r="H215" t="s">
        <v>17</v>
      </c>
      <c r="I215">
        <v>3086</v>
      </c>
      <c r="J215">
        <v>457</v>
      </c>
      <c r="K215" t="s">
        <v>66</v>
      </c>
      <c r="L215" t="s">
        <v>516</v>
      </c>
    </row>
    <row r="216" spans="1:12" x14ac:dyDescent="0.35">
      <c r="A216" t="s">
        <v>517</v>
      </c>
      <c r="B216">
        <v>45848</v>
      </c>
      <c r="C216" t="s">
        <v>21</v>
      </c>
      <c r="D216" t="s">
        <v>31</v>
      </c>
      <c r="E216" t="s">
        <v>32</v>
      </c>
      <c r="F216">
        <v>68624</v>
      </c>
      <c r="G216" t="s">
        <v>16</v>
      </c>
      <c r="H216" t="s">
        <v>43</v>
      </c>
      <c r="I216">
        <v>99002</v>
      </c>
      <c r="J216">
        <v>30378</v>
      </c>
      <c r="K216" t="s">
        <v>62</v>
      </c>
      <c r="L216" t="s">
        <v>518</v>
      </c>
    </row>
    <row r="217" spans="1:12" x14ac:dyDescent="0.35">
      <c r="A217" t="s">
        <v>519</v>
      </c>
      <c r="B217">
        <v>45856</v>
      </c>
      <c r="C217" t="s">
        <v>21</v>
      </c>
      <c r="D217" t="s">
        <v>132</v>
      </c>
      <c r="E217" t="s">
        <v>153</v>
      </c>
      <c r="F217">
        <v>7620</v>
      </c>
      <c r="G217" t="s">
        <v>51</v>
      </c>
      <c r="H217" t="s">
        <v>17</v>
      </c>
      <c r="I217">
        <v>7986</v>
      </c>
      <c r="J217">
        <v>366</v>
      </c>
      <c r="K217" t="s">
        <v>28</v>
      </c>
      <c r="L217" t="s">
        <v>520</v>
      </c>
    </row>
    <row r="218" spans="1:12" x14ac:dyDescent="0.35">
      <c r="A218" t="s">
        <v>521</v>
      </c>
      <c r="B218">
        <v>45865</v>
      </c>
      <c r="C218" t="s">
        <v>21</v>
      </c>
      <c r="D218" t="s">
        <v>26</v>
      </c>
      <c r="E218" t="s">
        <v>219</v>
      </c>
      <c r="F218">
        <v>554</v>
      </c>
      <c r="G218" t="s">
        <v>23</v>
      </c>
      <c r="H218" t="s">
        <v>17</v>
      </c>
      <c r="I218">
        <v>689</v>
      </c>
      <c r="J218">
        <v>135</v>
      </c>
      <c r="K218" t="s">
        <v>18</v>
      </c>
      <c r="L218" t="s">
        <v>522</v>
      </c>
    </row>
    <row r="219" spans="1:12" x14ac:dyDescent="0.35">
      <c r="A219" t="s">
        <v>523</v>
      </c>
      <c r="B219">
        <v>45843</v>
      </c>
      <c r="C219" t="s">
        <v>46</v>
      </c>
      <c r="D219" t="s">
        <v>36</v>
      </c>
      <c r="E219" t="s">
        <v>47</v>
      </c>
      <c r="F219">
        <v>100956</v>
      </c>
      <c r="G219" t="s">
        <v>38</v>
      </c>
      <c r="H219" t="s">
        <v>17</v>
      </c>
      <c r="I219">
        <v>123410</v>
      </c>
      <c r="J219">
        <v>22454</v>
      </c>
      <c r="K219" t="s">
        <v>62</v>
      </c>
      <c r="L219" t="s">
        <v>524</v>
      </c>
    </row>
    <row r="220" spans="1:12" x14ac:dyDescent="0.35">
      <c r="A220" t="s">
        <v>525</v>
      </c>
      <c r="B220">
        <v>45841</v>
      </c>
      <c r="C220" t="s">
        <v>46</v>
      </c>
      <c r="D220" t="s">
        <v>31</v>
      </c>
      <c r="E220" t="s">
        <v>50</v>
      </c>
      <c r="F220">
        <v>123315</v>
      </c>
      <c r="G220" t="s">
        <v>51</v>
      </c>
      <c r="H220" t="s">
        <v>17</v>
      </c>
      <c r="I220">
        <v>153728</v>
      </c>
      <c r="J220">
        <v>30413</v>
      </c>
      <c r="K220" t="s">
        <v>62</v>
      </c>
      <c r="L220" t="s">
        <v>526</v>
      </c>
    </row>
    <row r="221" spans="1:12" x14ac:dyDescent="0.35">
      <c r="A221" t="s">
        <v>527</v>
      </c>
      <c r="B221">
        <v>45849</v>
      </c>
      <c r="C221" t="s">
        <v>46</v>
      </c>
      <c r="D221" t="s">
        <v>14</v>
      </c>
      <c r="E221" t="s">
        <v>65</v>
      </c>
      <c r="F221">
        <v>16577</v>
      </c>
      <c r="G221" t="s">
        <v>51</v>
      </c>
      <c r="H221" t="s">
        <v>43</v>
      </c>
      <c r="I221">
        <v>22606</v>
      </c>
      <c r="J221">
        <v>6029</v>
      </c>
      <c r="K221" t="s">
        <v>33</v>
      </c>
      <c r="L221" t="s">
        <v>528</v>
      </c>
    </row>
    <row r="222" spans="1:12" x14ac:dyDescent="0.35">
      <c r="A222" t="s">
        <v>529</v>
      </c>
      <c r="B222">
        <v>45860</v>
      </c>
      <c r="C222" t="s">
        <v>46</v>
      </c>
      <c r="D222" t="s">
        <v>31</v>
      </c>
      <c r="E222" t="s">
        <v>50</v>
      </c>
      <c r="F222">
        <v>175314</v>
      </c>
      <c r="G222" t="s">
        <v>23</v>
      </c>
      <c r="H222" t="s">
        <v>17</v>
      </c>
      <c r="I222">
        <v>239788</v>
      </c>
      <c r="J222">
        <v>64474</v>
      </c>
      <c r="K222" t="s">
        <v>80</v>
      </c>
      <c r="L222" t="s">
        <v>530</v>
      </c>
    </row>
    <row r="223" spans="1:12" x14ac:dyDescent="0.35">
      <c r="A223" t="s">
        <v>531</v>
      </c>
      <c r="B223">
        <v>45849</v>
      </c>
      <c r="C223" t="s">
        <v>46</v>
      </c>
      <c r="D223" t="s">
        <v>14</v>
      </c>
      <c r="E223" t="s">
        <v>65</v>
      </c>
      <c r="F223">
        <v>48209</v>
      </c>
      <c r="G223" t="s">
        <v>51</v>
      </c>
      <c r="H223" t="s">
        <v>43</v>
      </c>
      <c r="I223">
        <v>67353</v>
      </c>
      <c r="J223">
        <v>19144</v>
      </c>
      <c r="K223" t="s">
        <v>80</v>
      </c>
      <c r="L223" t="s">
        <v>532</v>
      </c>
    </row>
    <row r="224" spans="1:12" x14ac:dyDescent="0.35">
      <c r="A224" t="s">
        <v>533</v>
      </c>
      <c r="B224">
        <v>45851</v>
      </c>
      <c r="C224" t="s">
        <v>46</v>
      </c>
      <c r="D224" t="s">
        <v>58</v>
      </c>
      <c r="E224" t="s">
        <v>59</v>
      </c>
      <c r="F224">
        <v>37232</v>
      </c>
      <c r="G224" t="s">
        <v>51</v>
      </c>
      <c r="H224" t="s">
        <v>17</v>
      </c>
      <c r="I224">
        <v>39780</v>
      </c>
      <c r="J224">
        <v>2548</v>
      </c>
      <c r="K224" t="s">
        <v>66</v>
      </c>
      <c r="L224" t="s">
        <v>534</v>
      </c>
    </row>
    <row r="225" spans="1:12" x14ac:dyDescent="0.35">
      <c r="A225" t="s">
        <v>535</v>
      </c>
      <c r="B225">
        <v>45862</v>
      </c>
      <c r="C225" t="s">
        <v>46</v>
      </c>
      <c r="D225" t="s">
        <v>21</v>
      </c>
      <c r="E225" t="s">
        <v>236</v>
      </c>
      <c r="F225">
        <v>137010</v>
      </c>
      <c r="G225" t="s">
        <v>38</v>
      </c>
      <c r="H225" t="s">
        <v>17</v>
      </c>
      <c r="I225">
        <v>192764</v>
      </c>
      <c r="J225">
        <v>55754</v>
      </c>
      <c r="K225" t="s">
        <v>39</v>
      </c>
      <c r="L225" t="s">
        <v>536</v>
      </c>
    </row>
    <row r="226" spans="1:12" x14ac:dyDescent="0.35">
      <c r="A226" t="s">
        <v>537</v>
      </c>
      <c r="B226">
        <v>45862</v>
      </c>
      <c r="C226" t="s">
        <v>72</v>
      </c>
      <c r="D226" t="s">
        <v>14</v>
      </c>
      <c r="E226" t="s">
        <v>89</v>
      </c>
      <c r="F226">
        <v>35836</v>
      </c>
      <c r="G226" t="s">
        <v>51</v>
      </c>
      <c r="H226" t="s">
        <v>17</v>
      </c>
      <c r="I226">
        <v>51195</v>
      </c>
      <c r="J226">
        <v>15359</v>
      </c>
      <c r="K226" t="s">
        <v>86</v>
      </c>
      <c r="L226" t="s">
        <v>538</v>
      </c>
    </row>
    <row r="227" spans="1:12" x14ac:dyDescent="0.35">
      <c r="A227" t="s">
        <v>539</v>
      </c>
      <c r="B227">
        <v>45861</v>
      </c>
      <c r="C227" t="s">
        <v>72</v>
      </c>
      <c r="D227" t="s">
        <v>31</v>
      </c>
      <c r="E227" t="s">
        <v>177</v>
      </c>
      <c r="F227">
        <v>156207</v>
      </c>
      <c r="G227" t="s">
        <v>51</v>
      </c>
      <c r="H227" t="s">
        <v>17</v>
      </c>
      <c r="I227">
        <v>203945</v>
      </c>
      <c r="J227">
        <v>47738</v>
      </c>
      <c r="K227" t="s">
        <v>86</v>
      </c>
      <c r="L227" t="s">
        <v>540</v>
      </c>
    </row>
    <row r="228" spans="1:12" x14ac:dyDescent="0.35">
      <c r="A228" t="s">
        <v>541</v>
      </c>
      <c r="B228">
        <v>45859</v>
      </c>
      <c r="C228" t="s">
        <v>72</v>
      </c>
      <c r="D228" t="s">
        <v>36</v>
      </c>
      <c r="E228" t="s">
        <v>76</v>
      </c>
      <c r="F228">
        <v>87709</v>
      </c>
      <c r="G228" t="s">
        <v>16</v>
      </c>
      <c r="H228" t="s">
        <v>17</v>
      </c>
      <c r="I228">
        <v>113316</v>
      </c>
      <c r="J228">
        <v>25607</v>
      </c>
      <c r="K228" t="s">
        <v>116</v>
      </c>
      <c r="L228" t="s">
        <v>542</v>
      </c>
    </row>
    <row r="229" spans="1:12" x14ac:dyDescent="0.35">
      <c r="A229" t="s">
        <v>543</v>
      </c>
      <c r="B229">
        <v>45848</v>
      </c>
      <c r="C229" t="s">
        <v>72</v>
      </c>
      <c r="D229" t="s">
        <v>21</v>
      </c>
      <c r="E229" t="s">
        <v>73</v>
      </c>
      <c r="F229">
        <v>88669</v>
      </c>
      <c r="G229" t="s">
        <v>38</v>
      </c>
      <c r="H229" t="s">
        <v>17</v>
      </c>
      <c r="I229">
        <v>125941</v>
      </c>
      <c r="J229">
        <v>37272</v>
      </c>
      <c r="K229" t="s">
        <v>86</v>
      </c>
      <c r="L229" t="s">
        <v>544</v>
      </c>
    </row>
    <row r="230" spans="1:12" x14ac:dyDescent="0.35">
      <c r="A230" t="s">
        <v>545</v>
      </c>
      <c r="B230">
        <v>45842</v>
      </c>
      <c r="C230" t="s">
        <v>72</v>
      </c>
      <c r="D230" t="s">
        <v>54</v>
      </c>
      <c r="E230" t="s">
        <v>79</v>
      </c>
      <c r="F230">
        <v>9903</v>
      </c>
      <c r="G230" t="s">
        <v>51</v>
      </c>
      <c r="H230" t="s">
        <v>17</v>
      </c>
      <c r="I230">
        <v>12284</v>
      </c>
      <c r="J230">
        <v>2381</v>
      </c>
      <c r="K230" t="s">
        <v>66</v>
      </c>
      <c r="L230" t="s">
        <v>546</v>
      </c>
    </row>
    <row r="231" spans="1:12" x14ac:dyDescent="0.35">
      <c r="A231" t="s">
        <v>547</v>
      </c>
      <c r="B231">
        <v>45852</v>
      </c>
      <c r="C231" t="s">
        <v>72</v>
      </c>
      <c r="D231" t="s">
        <v>31</v>
      </c>
      <c r="E231" t="s">
        <v>177</v>
      </c>
      <c r="F231">
        <v>95300</v>
      </c>
      <c r="G231" t="s">
        <v>23</v>
      </c>
      <c r="H231" t="s">
        <v>17</v>
      </c>
      <c r="I231">
        <v>107088</v>
      </c>
      <c r="J231">
        <v>11788</v>
      </c>
      <c r="K231" t="s">
        <v>69</v>
      </c>
      <c r="L231" t="s">
        <v>548</v>
      </c>
    </row>
    <row r="232" spans="1:12" x14ac:dyDescent="0.35">
      <c r="A232" t="s">
        <v>549</v>
      </c>
      <c r="B232">
        <v>45861</v>
      </c>
      <c r="C232" t="s">
        <v>72</v>
      </c>
      <c r="D232" t="s">
        <v>14</v>
      </c>
      <c r="E232" t="s">
        <v>89</v>
      </c>
      <c r="F232">
        <v>24778</v>
      </c>
      <c r="G232" t="s">
        <v>51</v>
      </c>
      <c r="H232" t="s">
        <v>17</v>
      </c>
      <c r="I232">
        <v>33413</v>
      </c>
      <c r="J232">
        <v>8635</v>
      </c>
      <c r="K232" t="s">
        <v>69</v>
      </c>
      <c r="L232" t="s">
        <v>550</v>
      </c>
    </row>
    <row r="233" spans="1:12" x14ac:dyDescent="0.35">
      <c r="A233" t="s">
        <v>551</v>
      </c>
      <c r="B233">
        <v>45848</v>
      </c>
      <c r="C233" t="s">
        <v>72</v>
      </c>
      <c r="D233" t="s">
        <v>36</v>
      </c>
      <c r="E233" t="s">
        <v>76</v>
      </c>
      <c r="F233">
        <v>95075</v>
      </c>
      <c r="G233" t="s">
        <v>16</v>
      </c>
      <c r="H233" t="s">
        <v>43</v>
      </c>
      <c r="I233">
        <v>106240</v>
      </c>
      <c r="J233">
        <v>11165</v>
      </c>
      <c r="K233" t="s">
        <v>18</v>
      </c>
      <c r="L233" t="s">
        <v>552</v>
      </c>
    </row>
    <row r="234" spans="1:12" x14ac:dyDescent="0.35">
      <c r="A234" t="s">
        <v>553</v>
      </c>
      <c r="B234">
        <v>45852</v>
      </c>
      <c r="C234" t="s">
        <v>92</v>
      </c>
      <c r="D234" t="s">
        <v>54</v>
      </c>
      <c r="E234" t="s">
        <v>96</v>
      </c>
      <c r="F234">
        <v>5286</v>
      </c>
      <c r="G234" t="s">
        <v>38</v>
      </c>
      <c r="H234" t="s">
        <v>17</v>
      </c>
      <c r="I234">
        <v>7070</v>
      </c>
      <c r="J234">
        <v>1784</v>
      </c>
      <c r="K234" t="s">
        <v>86</v>
      </c>
      <c r="L234" t="s">
        <v>554</v>
      </c>
    </row>
    <row r="235" spans="1:12" x14ac:dyDescent="0.35">
      <c r="A235" t="s">
        <v>555</v>
      </c>
      <c r="B235">
        <v>45862</v>
      </c>
      <c r="C235" t="s">
        <v>92</v>
      </c>
      <c r="D235" t="s">
        <v>132</v>
      </c>
      <c r="E235" t="s">
        <v>338</v>
      </c>
      <c r="F235">
        <v>4790</v>
      </c>
      <c r="G235" t="s">
        <v>51</v>
      </c>
      <c r="H235" t="s">
        <v>17</v>
      </c>
      <c r="I235">
        <v>5433</v>
      </c>
      <c r="J235">
        <v>643</v>
      </c>
      <c r="K235" t="s">
        <v>80</v>
      </c>
      <c r="L235" t="s">
        <v>556</v>
      </c>
    </row>
    <row r="236" spans="1:12" x14ac:dyDescent="0.35">
      <c r="A236" t="s">
        <v>557</v>
      </c>
      <c r="B236">
        <v>45844</v>
      </c>
      <c r="C236" t="s">
        <v>92</v>
      </c>
      <c r="D236" t="s">
        <v>31</v>
      </c>
      <c r="E236" t="s">
        <v>184</v>
      </c>
      <c r="F236">
        <v>117429</v>
      </c>
      <c r="G236" t="s">
        <v>51</v>
      </c>
      <c r="H236" t="s">
        <v>17</v>
      </c>
      <c r="I236">
        <v>130423</v>
      </c>
      <c r="J236">
        <v>12994</v>
      </c>
      <c r="K236" t="s">
        <v>28</v>
      </c>
      <c r="L236" t="s">
        <v>558</v>
      </c>
    </row>
    <row r="237" spans="1:12" x14ac:dyDescent="0.35">
      <c r="A237" t="s">
        <v>559</v>
      </c>
      <c r="B237">
        <v>45839</v>
      </c>
      <c r="C237" t="s">
        <v>114</v>
      </c>
      <c r="D237" t="s">
        <v>21</v>
      </c>
      <c r="E237" t="s">
        <v>115</v>
      </c>
      <c r="F237">
        <v>15221</v>
      </c>
      <c r="G237" t="s">
        <v>38</v>
      </c>
      <c r="H237" t="s">
        <v>17</v>
      </c>
      <c r="I237">
        <v>22453</v>
      </c>
      <c r="J237">
        <v>7232</v>
      </c>
      <c r="K237" t="s">
        <v>33</v>
      </c>
      <c r="L237" t="s">
        <v>560</v>
      </c>
    </row>
    <row r="238" spans="1:12" x14ac:dyDescent="0.35">
      <c r="A238" t="s">
        <v>561</v>
      </c>
      <c r="B238">
        <v>45845</v>
      </c>
      <c r="C238" t="s">
        <v>114</v>
      </c>
      <c r="D238" t="s">
        <v>14</v>
      </c>
      <c r="E238" t="s">
        <v>284</v>
      </c>
      <c r="F238">
        <v>44921</v>
      </c>
      <c r="G238" t="s">
        <v>16</v>
      </c>
      <c r="H238" t="s">
        <v>43</v>
      </c>
      <c r="I238">
        <v>46026</v>
      </c>
      <c r="J238">
        <v>1105</v>
      </c>
      <c r="K238" t="s">
        <v>18</v>
      </c>
      <c r="L238" t="s">
        <v>562</v>
      </c>
    </row>
    <row r="239" spans="1:12" x14ac:dyDescent="0.35">
      <c r="A239" t="s">
        <v>563</v>
      </c>
      <c r="B239">
        <v>45848</v>
      </c>
      <c r="C239" t="s">
        <v>114</v>
      </c>
      <c r="D239" t="s">
        <v>36</v>
      </c>
      <c r="E239" t="s">
        <v>129</v>
      </c>
      <c r="F239">
        <v>117685</v>
      </c>
      <c r="G239" t="s">
        <v>51</v>
      </c>
      <c r="H239" t="s">
        <v>17</v>
      </c>
      <c r="I239">
        <v>159923</v>
      </c>
      <c r="J239">
        <v>42238</v>
      </c>
      <c r="K239" t="s">
        <v>33</v>
      </c>
      <c r="L239" t="s">
        <v>564</v>
      </c>
    </row>
    <row r="240" spans="1:12" x14ac:dyDescent="0.35">
      <c r="A240" t="s">
        <v>565</v>
      </c>
      <c r="B240">
        <v>45839</v>
      </c>
      <c r="C240" t="s">
        <v>114</v>
      </c>
      <c r="D240" t="s">
        <v>26</v>
      </c>
      <c r="E240" t="s">
        <v>119</v>
      </c>
      <c r="F240">
        <v>5029</v>
      </c>
      <c r="G240" t="s">
        <v>23</v>
      </c>
      <c r="H240" t="s">
        <v>17</v>
      </c>
      <c r="I240">
        <v>6873</v>
      </c>
      <c r="J240">
        <v>1844</v>
      </c>
      <c r="K240" t="s">
        <v>116</v>
      </c>
      <c r="L240" t="s">
        <v>566</v>
      </c>
    </row>
    <row r="241" spans="1:12" x14ac:dyDescent="0.35">
      <c r="A241" t="s">
        <v>567</v>
      </c>
      <c r="B241">
        <v>45844</v>
      </c>
      <c r="C241" t="s">
        <v>114</v>
      </c>
      <c r="D241" t="s">
        <v>36</v>
      </c>
      <c r="E241" t="s">
        <v>129</v>
      </c>
      <c r="F241">
        <v>108722</v>
      </c>
      <c r="G241" t="s">
        <v>16</v>
      </c>
      <c r="H241" t="s">
        <v>17</v>
      </c>
      <c r="I241">
        <v>135082</v>
      </c>
      <c r="J241">
        <v>26360</v>
      </c>
      <c r="K241" t="s">
        <v>80</v>
      </c>
      <c r="L241" t="s">
        <v>568</v>
      </c>
    </row>
    <row r="242" spans="1:12" x14ac:dyDescent="0.35">
      <c r="A242" t="s">
        <v>569</v>
      </c>
      <c r="B242">
        <v>45873</v>
      </c>
      <c r="C242" t="s">
        <v>13</v>
      </c>
      <c r="D242" t="s">
        <v>26</v>
      </c>
      <c r="E242" t="s">
        <v>27</v>
      </c>
      <c r="F242">
        <v>776</v>
      </c>
      <c r="G242" t="s">
        <v>38</v>
      </c>
      <c r="H242" t="s">
        <v>17</v>
      </c>
      <c r="I242">
        <v>882</v>
      </c>
      <c r="J242">
        <v>106</v>
      </c>
      <c r="K242" t="s">
        <v>39</v>
      </c>
      <c r="L242" t="s">
        <v>570</v>
      </c>
    </row>
    <row r="243" spans="1:12" x14ac:dyDescent="0.35">
      <c r="A243" t="s">
        <v>571</v>
      </c>
      <c r="B243">
        <v>45893</v>
      </c>
      <c r="C243" t="s">
        <v>13</v>
      </c>
      <c r="D243" t="s">
        <v>14</v>
      </c>
      <c r="E243" t="s">
        <v>15</v>
      </c>
      <c r="F243">
        <v>7015</v>
      </c>
      <c r="G243" t="s">
        <v>38</v>
      </c>
      <c r="H243" t="s">
        <v>17</v>
      </c>
      <c r="I243">
        <v>7274</v>
      </c>
      <c r="J243">
        <v>259</v>
      </c>
      <c r="K243" t="s">
        <v>80</v>
      </c>
      <c r="L243" t="s">
        <v>572</v>
      </c>
    </row>
    <row r="244" spans="1:12" x14ac:dyDescent="0.35">
      <c r="A244" t="s">
        <v>573</v>
      </c>
      <c r="B244">
        <v>45895</v>
      </c>
      <c r="C244" t="s">
        <v>13</v>
      </c>
      <c r="D244" t="s">
        <v>21</v>
      </c>
      <c r="E244" t="s">
        <v>22</v>
      </c>
      <c r="F244">
        <v>35049</v>
      </c>
      <c r="G244" t="s">
        <v>38</v>
      </c>
      <c r="H244" t="s">
        <v>17</v>
      </c>
      <c r="I244">
        <v>47945</v>
      </c>
      <c r="J244">
        <v>12896</v>
      </c>
      <c r="K244" t="s">
        <v>28</v>
      </c>
      <c r="L244" t="s">
        <v>574</v>
      </c>
    </row>
    <row r="245" spans="1:12" x14ac:dyDescent="0.35">
      <c r="A245" t="s">
        <v>575</v>
      </c>
      <c r="B245">
        <v>45870</v>
      </c>
      <c r="C245" t="s">
        <v>13</v>
      </c>
      <c r="D245" t="s">
        <v>54</v>
      </c>
      <c r="E245" t="s">
        <v>136</v>
      </c>
      <c r="F245">
        <v>7965</v>
      </c>
      <c r="G245" t="s">
        <v>16</v>
      </c>
      <c r="H245" t="s">
        <v>17</v>
      </c>
      <c r="I245">
        <v>10005</v>
      </c>
      <c r="J245">
        <v>2040</v>
      </c>
      <c r="K245" t="s">
        <v>69</v>
      </c>
      <c r="L245" t="s">
        <v>576</v>
      </c>
    </row>
    <row r="246" spans="1:12" x14ac:dyDescent="0.35">
      <c r="A246" t="s">
        <v>577</v>
      </c>
      <c r="B246">
        <v>45888</v>
      </c>
      <c r="C246" t="s">
        <v>13</v>
      </c>
      <c r="D246" t="s">
        <v>14</v>
      </c>
      <c r="E246" t="s">
        <v>15</v>
      </c>
      <c r="F246">
        <v>19319</v>
      </c>
      <c r="G246" t="s">
        <v>38</v>
      </c>
      <c r="H246" t="s">
        <v>17</v>
      </c>
      <c r="I246">
        <v>28682</v>
      </c>
      <c r="J246">
        <v>9363</v>
      </c>
      <c r="K246" t="s">
        <v>66</v>
      </c>
      <c r="L246" t="s">
        <v>578</v>
      </c>
    </row>
    <row r="247" spans="1:12" x14ac:dyDescent="0.35">
      <c r="A247" t="s">
        <v>579</v>
      </c>
      <c r="B247">
        <v>45887</v>
      </c>
      <c r="C247" t="s">
        <v>13</v>
      </c>
      <c r="D247" t="s">
        <v>14</v>
      </c>
      <c r="E247" t="s">
        <v>15</v>
      </c>
      <c r="F247">
        <v>16565</v>
      </c>
      <c r="G247" t="s">
        <v>16</v>
      </c>
      <c r="H247" t="s">
        <v>17</v>
      </c>
      <c r="I247">
        <v>24573</v>
      </c>
      <c r="J247">
        <v>8008</v>
      </c>
      <c r="K247" t="s">
        <v>66</v>
      </c>
      <c r="L247" t="s">
        <v>580</v>
      </c>
    </row>
    <row r="248" spans="1:12" x14ac:dyDescent="0.35">
      <c r="A248" t="s">
        <v>581</v>
      </c>
      <c r="B248">
        <v>45885</v>
      </c>
      <c r="C248" t="s">
        <v>13</v>
      </c>
      <c r="D248" t="s">
        <v>26</v>
      </c>
      <c r="E248" t="s">
        <v>27</v>
      </c>
      <c r="F248">
        <v>3632</v>
      </c>
      <c r="G248" t="s">
        <v>38</v>
      </c>
      <c r="H248" t="s">
        <v>17</v>
      </c>
      <c r="I248">
        <v>3663</v>
      </c>
      <c r="J248">
        <v>31</v>
      </c>
      <c r="K248" t="s">
        <v>116</v>
      </c>
      <c r="L248" t="s">
        <v>582</v>
      </c>
    </row>
    <row r="249" spans="1:12" x14ac:dyDescent="0.35">
      <c r="A249" t="s">
        <v>583</v>
      </c>
      <c r="B249">
        <v>45870</v>
      </c>
      <c r="C249" t="s">
        <v>13</v>
      </c>
      <c r="D249" t="s">
        <v>31</v>
      </c>
      <c r="E249" t="s">
        <v>290</v>
      </c>
      <c r="F249">
        <v>68736</v>
      </c>
      <c r="G249" t="s">
        <v>38</v>
      </c>
      <c r="H249" t="s">
        <v>17</v>
      </c>
      <c r="I249">
        <v>88597</v>
      </c>
      <c r="J249">
        <v>19861</v>
      </c>
      <c r="K249" t="s">
        <v>69</v>
      </c>
      <c r="L249" t="s">
        <v>584</v>
      </c>
    </row>
    <row r="250" spans="1:12" x14ac:dyDescent="0.35">
      <c r="A250" t="s">
        <v>585</v>
      </c>
      <c r="B250">
        <v>45874</v>
      </c>
      <c r="C250" t="s">
        <v>21</v>
      </c>
      <c r="D250" t="s">
        <v>14</v>
      </c>
      <c r="E250" t="s">
        <v>42</v>
      </c>
      <c r="F250">
        <v>44127</v>
      </c>
      <c r="G250" t="s">
        <v>23</v>
      </c>
      <c r="H250" t="s">
        <v>17</v>
      </c>
      <c r="I250">
        <v>50980</v>
      </c>
      <c r="J250">
        <v>6853</v>
      </c>
      <c r="K250" t="s">
        <v>116</v>
      </c>
      <c r="L250" t="s">
        <v>586</v>
      </c>
    </row>
    <row r="251" spans="1:12" x14ac:dyDescent="0.35">
      <c r="A251" t="s">
        <v>587</v>
      </c>
      <c r="B251">
        <v>45888</v>
      </c>
      <c r="C251" t="s">
        <v>21</v>
      </c>
      <c r="D251" t="s">
        <v>26</v>
      </c>
      <c r="E251" t="s">
        <v>219</v>
      </c>
      <c r="F251">
        <v>7584</v>
      </c>
      <c r="G251" t="s">
        <v>51</v>
      </c>
      <c r="H251" t="s">
        <v>17</v>
      </c>
      <c r="I251">
        <v>11156</v>
      </c>
      <c r="J251">
        <v>3572</v>
      </c>
      <c r="K251" t="s">
        <v>39</v>
      </c>
      <c r="L251" t="s">
        <v>588</v>
      </c>
    </row>
    <row r="252" spans="1:12" x14ac:dyDescent="0.35">
      <c r="A252" t="s">
        <v>589</v>
      </c>
      <c r="B252">
        <v>45888</v>
      </c>
      <c r="C252" t="s">
        <v>21</v>
      </c>
      <c r="D252" t="s">
        <v>31</v>
      </c>
      <c r="E252" t="s">
        <v>32</v>
      </c>
      <c r="F252">
        <v>147207</v>
      </c>
      <c r="G252" t="s">
        <v>51</v>
      </c>
      <c r="H252" t="s">
        <v>17</v>
      </c>
      <c r="I252">
        <v>200425</v>
      </c>
      <c r="J252">
        <v>53218</v>
      </c>
      <c r="K252" t="s">
        <v>69</v>
      </c>
      <c r="L252" t="s">
        <v>590</v>
      </c>
    </row>
    <row r="253" spans="1:12" x14ac:dyDescent="0.35">
      <c r="A253" t="s">
        <v>591</v>
      </c>
      <c r="B253">
        <v>45896</v>
      </c>
      <c r="C253" t="s">
        <v>21</v>
      </c>
      <c r="D253" t="s">
        <v>36</v>
      </c>
      <c r="E253" t="s">
        <v>37</v>
      </c>
      <c r="F253">
        <v>45823</v>
      </c>
      <c r="G253" t="s">
        <v>51</v>
      </c>
      <c r="H253" t="s">
        <v>17</v>
      </c>
      <c r="I253">
        <v>62789</v>
      </c>
      <c r="J253">
        <v>16966</v>
      </c>
      <c r="K253" t="s">
        <v>33</v>
      </c>
      <c r="L253" t="s">
        <v>592</v>
      </c>
    </row>
    <row r="254" spans="1:12" x14ac:dyDescent="0.35">
      <c r="A254" t="s">
        <v>593</v>
      </c>
      <c r="B254">
        <v>45892</v>
      </c>
      <c r="C254" t="s">
        <v>21</v>
      </c>
      <c r="D254" t="s">
        <v>36</v>
      </c>
      <c r="E254" t="s">
        <v>37</v>
      </c>
      <c r="F254">
        <v>119219</v>
      </c>
      <c r="G254" t="s">
        <v>51</v>
      </c>
      <c r="H254" t="s">
        <v>43</v>
      </c>
      <c r="I254">
        <v>119551</v>
      </c>
      <c r="J254">
        <v>332</v>
      </c>
      <c r="K254" t="s">
        <v>69</v>
      </c>
      <c r="L254" t="s">
        <v>594</v>
      </c>
    </row>
    <row r="255" spans="1:12" x14ac:dyDescent="0.35">
      <c r="A255" t="s">
        <v>595</v>
      </c>
      <c r="B255">
        <v>45877</v>
      </c>
      <c r="C255" t="s">
        <v>21</v>
      </c>
      <c r="D255" t="s">
        <v>31</v>
      </c>
      <c r="E255" t="s">
        <v>32</v>
      </c>
      <c r="F255">
        <v>92055</v>
      </c>
      <c r="G255" t="s">
        <v>16</v>
      </c>
      <c r="H255" t="s">
        <v>17</v>
      </c>
      <c r="I255">
        <v>136217</v>
      </c>
      <c r="J255">
        <v>44162</v>
      </c>
      <c r="K255" t="s">
        <v>69</v>
      </c>
      <c r="L255" t="s">
        <v>596</v>
      </c>
    </row>
    <row r="256" spans="1:12" x14ac:dyDescent="0.35">
      <c r="A256" t="s">
        <v>597</v>
      </c>
      <c r="B256">
        <v>45872</v>
      </c>
      <c r="C256" t="s">
        <v>46</v>
      </c>
      <c r="D256" t="s">
        <v>14</v>
      </c>
      <c r="E256" t="s">
        <v>65</v>
      </c>
      <c r="F256">
        <v>8884</v>
      </c>
      <c r="G256" t="s">
        <v>38</v>
      </c>
      <c r="H256" t="s">
        <v>17</v>
      </c>
      <c r="I256">
        <v>10775</v>
      </c>
      <c r="J256">
        <v>1891</v>
      </c>
      <c r="K256" t="s">
        <v>80</v>
      </c>
      <c r="L256" t="s">
        <v>385</v>
      </c>
    </row>
    <row r="257" spans="1:12" x14ac:dyDescent="0.35">
      <c r="A257" t="s">
        <v>598</v>
      </c>
      <c r="B257">
        <v>45897</v>
      </c>
      <c r="C257" t="s">
        <v>46</v>
      </c>
      <c r="D257" t="s">
        <v>14</v>
      </c>
      <c r="E257" t="s">
        <v>65</v>
      </c>
      <c r="F257">
        <v>12891</v>
      </c>
      <c r="G257" t="s">
        <v>23</v>
      </c>
      <c r="H257" t="s">
        <v>17</v>
      </c>
      <c r="I257">
        <v>14163</v>
      </c>
      <c r="J257">
        <v>1272</v>
      </c>
      <c r="K257" t="s">
        <v>86</v>
      </c>
      <c r="L257" t="s">
        <v>599</v>
      </c>
    </row>
    <row r="258" spans="1:12" x14ac:dyDescent="0.35">
      <c r="A258" t="s">
        <v>600</v>
      </c>
      <c r="B258">
        <v>45893</v>
      </c>
      <c r="C258" t="s">
        <v>46</v>
      </c>
      <c r="D258" t="s">
        <v>21</v>
      </c>
      <c r="E258" t="s">
        <v>236</v>
      </c>
      <c r="F258">
        <v>147517</v>
      </c>
      <c r="G258" t="s">
        <v>38</v>
      </c>
      <c r="H258" t="s">
        <v>17</v>
      </c>
      <c r="I258">
        <v>183452</v>
      </c>
      <c r="J258">
        <v>35935</v>
      </c>
      <c r="K258" t="s">
        <v>80</v>
      </c>
      <c r="L258" t="s">
        <v>601</v>
      </c>
    </row>
    <row r="259" spans="1:12" x14ac:dyDescent="0.35">
      <c r="A259" t="s">
        <v>602</v>
      </c>
      <c r="B259">
        <v>45893</v>
      </c>
      <c r="C259" t="s">
        <v>46</v>
      </c>
      <c r="D259" t="s">
        <v>14</v>
      </c>
      <c r="E259" t="s">
        <v>65</v>
      </c>
      <c r="F259">
        <v>30539</v>
      </c>
      <c r="G259" t="s">
        <v>16</v>
      </c>
      <c r="H259" t="s">
        <v>43</v>
      </c>
      <c r="I259">
        <v>45744</v>
      </c>
      <c r="J259">
        <v>15205</v>
      </c>
      <c r="K259" t="s">
        <v>33</v>
      </c>
      <c r="L259" t="s">
        <v>603</v>
      </c>
    </row>
    <row r="260" spans="1:12" x14ac:dyDescent="0.35">
      <c r="A260" t="s">
        <v>604</v>
      </c>
      <c r="B260">
        <v>45874</v>
      </c>
      <c r="C260" t="s">
        <v>46</v>
      </c>
      <c r="D260" t="s">
        <v>54</v>
      </c>
      <c r="E260" t="s">
        <v>55</v>
      </c>
      <c r="F260">
        <v>10237</v>
      </c>
      <c r="G260" t="s">
        <v>16</v>
      </c>
      <c r="H260" t="s">
        <v>43</v>
      </c>
      <c r="I260">
        <v>13565</v>
      </c>
      <c r="J260">
        <v>3328</v>
      </c>
      <c r="K260" t="s">
        <v>18</v>
      </c>
      <c r="L260" t="s">
        <v>605</v>
      </c>
    </row>
    <row r="261" spans="1:12" x14ac:dyDescent="0.35">
      <c r="A261" t="s">
        <v>606</v>
      </c>
      <c r="B261">
        <v>45885</v>
      </c>
      <c r="C261" t="s">
        <v>46</v>
      </c>
      <c r="D261" t="s">
        <v>54</v>
      </c>
      <c r="E261" t="s">
        <v>55</v>
      </c>
      <c r="F261">
        <v>9509</v>
      </c>
      <c r="G261" t="s">
        <v>38</v>
      </c>
      <c r="H261" t="s">
        <v>17</v>
      </c>
      <c r="I261">
        <v>12383</v>
      </c>
      <c r="J261">
        <v>2874</v>
      </c>
      <c r="K261" t="s">
        <v>33</v>
      </c>
      <c r="L261" t="s">
        <v>607</v>
      </c>
    </row>
    <row r="262" spans="1:12" x14ac:dyDescent="0.35">
      <c r="A262" t="s">
        <v>608</v>
      </c>
      <c r="B262">
        <v>45885</v>
      </c>
      <c r="C262" t="s">
        <v>46</v>
      </c>
      <c r="D262" t="s">
        <v>21</v>
      </c>
      <c r="E262" t="s">
        <v>236</v>
      </c>
      <c r="F262">
        <v>147462</v>
      </c>
      <c r="G262" t="s">
        <v>23</v>
      </c>
      <c r="H262" t="s">
        <v>17</v>
      </c>
      <c r="I262">
        <v>200186</v>
      </c>
      <c r="J262">
        <v>52724</v>
      </c>
      <c r="K262" t="s">
        <v>86</v>
      </c>
      <c r="L262" t="s">
        <v>609</v>
      </c>
    </row>
    <row r="263" spans="1:12" x14ac:dyDescent="0.35">
      <c r="A263" t="s">
        <v>610</v>
      </c>
      <c r="B263">
        <v>45870</v>
      </c>
      <c r="C263" t="s">
        <v>72</v>
      </c>
      <c r="D263" t="s">
        <v>31</v>
      </c>
      <c r="E263" t="s">
        <v>177</v>
      </c>
      <c r="F263">
        <v>27576</v>
      </c>
      <c r="G263" t="s">
        <v>16</v>
      </c>
      <c r="H263" t="s">
        <v>17</v>
      </c>
      <c r="I263">
        <v>41272</v>
      </c>
      <c r="J263">
        <v>13696</v>
      </c>
      <c r="K263" t="s">
        <v>18</v>
      </c>
      <c r="L263" t="s">
        <v>611</v>
      </c>
    </row>
    <row r="264" spans="1:12" x14ac:dyDescent="0.35">
      <c r="A264" t="s">
        <v>612</v>
      </c>
      <c r="B264">
        <v>45889</v>
      </c>
      <c r="C264" t="s">
        <v>72</v>
      </c>
      <c r="D264" t="s">
        <v>31</v>
      </c>
      <c r="E264" t="s">
        <v>177</v>
      </c>
      <c r="F264">
        <v>96778</v>
      </c>
      <c r="G264" t="s">
        <v>38</v>
      </c>
      <c r="H264" t="s">
        <v>43</v>
      </c>
      <c r="I264">
        <v>101361</v>
      </c>
      <c r="J264">
        <v>4583</v>
      </c>
      <c r="K264" t="s">
        <v>39</v>
      </c>
      <c r="L264" t="s">
        <v>613</v>
      </c>
    </row>
    <row r="265" spans="1:12" x14ac:dyDescent="0.35">
      <c r="A265" t="s">
        <v>614</v>
      </c>
      <c r="B265">
        <v>45877</v>
      </c>
      <c r="C265" t="s">
        <v>72</v>
      </c>
      <c r="D265" t="s">
        <v>54</v>
      </c>
      <c r="E265" t="s">
        <v>79</v>
      </c>
      <c r="F265">
        <v>11425</v>
      </c>
      <c r="G265" t="s">
        <v>16</v>
      </c>
      <c r="H265" t="s">
        <v>17</v>
      </c>
      <c r="I265">
        <v>14619</v>
      </c>
      <c r="J265">
        <v>3194</v>
      </c>
      <c r="K265" t="s">
        <v>18</v>
      </c>
      <c r="L265" t="s">
        <v>615</v>
      </c>
    </row>
    <row r="266" spans="1:12" x14ac:dyDescent="0.35">
      <c r="A266" t="s">
        <v>616</v>
      </c>
      <c r="B266">
        <v>45883</v>
      </c>
      <c r="C266" t="s">
        <v>72</v>
      </c>
      <c r="D266" t="s">
        <v>132</v>
      </c>
      <c r="E266" t="s">
        <v>247</v>
      </c>
      <c r="F266">
        <v>29894</v>
      </c>
      <c r="G266" t="s">
        <v>16</v>
      </c>
      <c r="H266" t="s">
        <v>17</v>
      </c>
      <c r="I266">
        <v>43518</v>
      </c>
      <c r="J266">
        <v>13624</v>
      </c>
      <c r="K266" t="s">
        <v>28</v>
      </c>
      <c r="L266" t="s">
        <v>617</v>
      </c>
    </row>
    <row r="267" spans="1:12" x14ac:dyDescent="0.35">
      <c r="A267" t="s">
        <v>618</v>
      </c>
      <c r="B267">
        <v>45873</v>
      </c>
      <c r="C267" t="s">
        <v>92</v>
      </c>
      <c r="D267" t="s">
        <v>26</v>
      </c>
      <c r="E267" t="s">
        <v>191</v>
      </c>
      <c r="F267">
        <v>1134</v>
      </c>
      <c r="G267" t="s">
        <v>51</v>
      </c>
      <c r="H267" t="s">
        <v>17</v>
      </c>
      <c r="I267">
        <v>1470</v>
      </c>
      <c r="J267">
        <v>336</v>
      </c>
      <c r="K267" t="s">
        <v>39</v>
      </c>
      <c r="L267" t="s">
        <v>619</v>
      </c>
    </row>
    <row r="268" spans="1:12" x14ac:dyDescent="0.35">
      <c r="A268" t="s">
        <v>620</v>
      </c>
      <c r="B268">
        <v>45888</v>
      </c>
      <c r="C268" t="s">
        <v>92</v>
      </c>
      <c r="D268" t="s">
        <v>14</v>
      </c>
      <c r="E268" t="s">
        <v>93</v>
      </c>
      <c r="F268">
        <v>10303</v>
      </c>
      <c r="G268" t="s">
        <v>38</v>
      </c>
      <c r="H268" t="s">
        <v>17</v>
      </c>
      <c r="I268">
        <v>14408</v>
      </c>
      <c r="J268">
        <v>4105</v>
      </c>
      <c r="K268" t="s">
        <v>28</v>
      </c>
      <c r="L268" t="s">
        <v>621</v>
      </c>
    </row>
    <row r="269" spans="1:12" x14ac:dyDescent="0.35">
      <c r="A269" t="s">
        <v>622</v>
      </c>
      <c r="B269">
        <v>45889</v>
      </c>
      <c r="C269" t="s">
        <v>92</v>
      </c>
      <c r="D269" t="s">
        <v>132</v>
      </c>
      <c r="E269" t="s">
        <v>338</v>
      </c>
      <c r="F269">
        <v>29453</v>
      </c>
      <c r="G269" t="s">
        <v>38</v>
      </c>
      <c r="H269" t="s">
        <v>17</v>
      </c>
      <c r="I269">
        <v>40310</v>
      </c>
      <c r="J269">
        <v>10857</v>
      </c>
      <c r="K269" t="s">
        <v>39</v>
      </c>
      <c r="L269" t="s">
        <v>623</v>
      </c>
    </row>
    <row r="270" spans="1:12" x14ac:dyDescent="0.35">
      <c r="A270" t="s">
        <v>624</v>
      </c>
      <c r="B270">
        <v>45895</v>
      </c>
      <c r="C270" t="s">
        <v>92</v>
      </c>
      <c r="D270" t="s">
        <v>26</v>
      </c>
      <c r="E270" t="s">
        <v>191</v>
      </c>
      <c r="F270">
        <v>2273</v>
      </c>
      <c r="G270" t="s">
        <v>51</v>
      </c>
      <c r="H270" t="s">
        <v>17</v>
      </c>
      <c r="I270">
        <v>2377</v>
      </c>
      <c r="J270">
        <v>104</v>
      </c>
      <c r="K270" t="s">
        <v>39</v>
      </c>
      <c r="L270" t="s">
        <v>625</v>
      </c>
    </row>
    <row r="271" spans="1:12" x14ac:dyDescent="0.35">
      <c r="A271" t="s">
        <v>626</v>
      </c>
      <c r="B271">
        <v>45871</v>
      </c>
      <c r="C271" t="s">
        <v>92</v>
      </c>
      <c r="D271" t="s">
        <v>58</v>
      </c>
      <c r="E271" t="s">
        <v>99</v>
      </c>
      <c r="F271">
        <v>47380</v>
      </c>
      <c r="G271" t="s">
        <v>51</v>
      </c>
      <c r="H271" t="s">
        <v>43</v>
      </c>
      <c r="I271">
        <v>49223</v>
      </c>
      <c r="J271">
        <v>1843</v>
      </c>
      <c r="K271" t="s">
        <v>69</v>
      </c>
      <c r="L271" t="s">
        <v>627</v>
      </c>
    </row>
    <row r="272" spans="1:12" x14ac:dyDescent="0.35">
      <c r="A272" t="s">
        <v>628</v>
      </c>
      <c r="B272">
        <v>45894</v>
      </c>
      <c r="C272" t="s">
        <v>114</v>
      </c>
      <c r="D272" t="s">
        <v>31</v>
      </c>
      <c r="E272" t="s">
        <v>281</v>
      </c>
      <c r="F272">
        <v>95744</v>
      </c>
      <c r="G272" t="s">
        <v>23</v>
      </c>
      <c r="H272" t="s">
        <v>17</v>
      </c>
      <c r="I272">
        <v>110228</v>
      </c>
      <c r="J272">
        <v>14484</v>
      </c>
      <c r="K272" t="s">
        <v>116</v>
      </c>
      <c r="L272" t="s">
        <v>629</v>
      </c>
    </row>
    <row r="273" spans="1:12" x14ac:dyDescent="0.35">
      <c r="A273" t="s">
        <v>630</v>
      </c>
      <c r="B273">
        <v>45885</v>
      </c>
      <c r="C273" t="s">
        <v>114</v>
      </c>
      <c r="D273" t="s">
        <v>36</v>
      </c>
      <c r="E273" t="s">
        <v>129</v>
      </c>
      <c r="F273">
        <v>106439</v>
      </c>
      <c r="G273" t="s">
        <v>16</v>
      </c>
      <c r="H273" t="s">
        <v>17</v>
      </c>
      <c r="I273">
        <v>126957</v>
      </c>
      <c r="J273">
        <v>20518</v>
      </c>
      <c r="K273" t="s">
        <v>116</v>
      </c>
      <c r="L273" t="s">
        <v>631</v>
      </c>
    </row>
    <row r="274" spans="1:12" x14ac:dyDescent="0.35">
      <c r="A274" t="s">
        <v>632</v>
      </c>
      <c r="B274">
        <v>45875</v>
      </c>
      <c r="C274" t="s">
        <v>114</v>
      </c>
      <c r="D274" t="s">
        <v>14</v>
      </c>
      <c r="E274" t="s">
        <v>284</v>
      </c>
      <c r="F274">
        <v>41674</v>
      </c>
      <c r="G274" t="s">
        <v>16</v>
      </c>
      <c r="H274" t="s">
        <v>17</v>
      </c>
      <c r="I274">
        <v>59223</v>
      </c>
      <c r="J274">
        <v>17549</v>
      </c>
      <c r="K274" t="s">
        <v>86</v>
      </c>
      <c r="L274" t="s">
        <v>633</v>
      </c>
    </row>
    <row r="275" spans="1:12" x14ac:dyDescent="0.35">
      <c r="A275" t="s">
        <v>634</v>
      </c>
      <c r="B275">
        <v>45878</v>
      </c>
      <c r="C275" t="s">
        <v>114</v>
      </c>
      <c r="D275" t="s">
        <v>31</v>
      </c>
      <c r="E275" t="s">
        <v>281</v>
      </c>
      <c r="F275">
        <v>138475</v>
      </c>
      <c r="G275" t="s">
        <v>23</v>
      </c>
      <c r="H275" t="s">
        <v>43</v>
      </c>
      <c r="I275">
        <v>186602</v>
      </c>
      <c r="J275">
        <v>48127</v>
      </c>
      <c r="K275" t="s">
        <v>86</v>
      </c>
      <c r="L275" t="s">
        <v>635</v>
      </c>
    </row>
    <row r="276" spans="1:12" x14ac:dyDescent="0.35">
      <c r="A276" t="s">
        <v>636</v>
      </c>
      <c r="B276">
        <v>45881</v>
      </c>
      <c r="C276" t="s">
        <v>114</v>
      </c>
      <c r="D276" t="s">
        <v>54</v>
      </c>
      <c r="E276" t="s">
        <v>196</v>
      </c>
      <c r="F276">
        <v>3916</v>
      </c>
      <c r="G276" t="s">
        <v>38</v>
      </c>
      <c r="H276" t="s">
        <v>17</v>
      </c>
      <c r="I276">
        <v>3966</v>
      </c>
      <c r="J276">
        <v>50</v>
      </c>
      <c r="K276" t="s">
        <v>86</v>
      </c>
      <c r="L276" t="s">
        <v>637</v>
      </c>
    </row>
    <row r="277" spans="1:12" x14ac:dyDescent="0.35">
      <c r="A277" t="s">
        <v>638</v>
      </c>
      <c r="B277">
        <v>45893</v>
      </c>
      <c r="C277" t="s">
        <v>114</v>
      </c>
      <c r="D277" t="s">
        <v>26</v>
      </c>
      <c r="E277" t="s">
        <v>119</v>
      </c>
      <c r="F277">
        <v>3633</v>
      </c>
      <c r="G277" t="s">
        <v>23</v>
      </c>
      <c r="H277" t="s">
        <v>17</v>
      </c>
      <c r="I277">
        <v>4313</v>
      </c>
      <c r="J277">
        <v>680</v>
      </c>
      <c r="K277" t="s">
        <v>69</v>
      </c>
      <c r="L277" t="s">
        <v>639</v>
      </c>
    </row>
    <row r="278" spans="1:12" x14ac:dyDescent="0.35">
      <c r="A278" t="s">
        <v>640</v>
      </c>
      <c r="B278">
        <v>45880</v>
      </c>
      <c r="C278" t="s">
        <v>114</v>
      </c>
      <c r="D278" t="s">
        <v>26</v>
      </c>
      <c r="E278" t="s">
        <v>119</v>
      </c>
      <c r="F278">
        <v>545</v>
      </c>
      <c r="G278" t="s">
        <v>23</v>
      </c>
      <c r="H278" t="s">
        <v>17</v>
      </c>
      <c r="I278">
        <v>705</v>
      </c>
      <c r="J278">
        <v>160</v>
      </c>
      <c r="K278" t="s">
        <v>66</v>
      </c>
      <c r="L278" t="s">
        <v>641</v>
      </c>
    </row>
    <row r="279" spans="1:12" x14ac:dyDescent="0.35">
      <c r="A279" t="s">
        <v>642</v>
      </c>
      <c r="B279">
        <v>45878</v>
      </c>
      <c r="C279" t="s">
        <v>114</v>
      </c>
      <c r="D279" t="s">
        <v>58</v>
      </c>
      <c r="E279" t="s">
        <v>124</v>
      </c>
      <c r="F279">
        <v>40786</v>
      </c>
      <c r="G279" t="s">
        <v>38</v>
      </c>
      <c r="H279" t="s">
        <v>17</v>
      </c>
      <c r="I279">
        <v>41470</v>
      </c>
      <c r="J279">
        <v>684</v>
      </c>
      <c r="K279" t="s">
        <v>80</v>
      </c>
      <c r="L279" t="s">
        <v>643</v>
      </c>
    </row>
    <row r="280" spans="1:12" x14ac:dyDescent="0.35">
      <c r="A280" t="s">
        <v>644</v>
      </c>
      <c r="B280">
        <v>45928</v>
      </c>
      <c r="C280" t="s">
        <v>13</v>
      </c>
      <c r="D280" t="s">
        <v>58</v>
      </c>
      <c r="E280" t="s">
        <v>287</v>
      </c>
      <c r="F280">
        <v>79996</v>
      </c>
      <c r="G280" t="s">
        <v>38</v>
      </c>
      <c r="H280" t="s">
        <v>43</v>
      </c>
      <c r="I280">
        <v>112927</v>
      </c>
      <c r="J280">
        <v>32931</v>
      </c>
      <c r="K280" t="s">
        <v>69</v>
      </c>
      <c r="L280" t="s">
        <v>645</v>
      </c>
    </row>
    <row r="281" spans="1:12" x14ac:dyDescent="0.35">
      <c r="A281" t="s">
        <v>646</v>
      </c>
      <c r="B281">
        <v>45921</v>
      </c>
      <c r="C281" t="s">
        <v>13</v>
      </c>
      <c r="D281" t="s">
        <v>21</v>
      </c>
      <c r="E281" t="s">
        <v>22</v>
      </c>
      <c r="F281">
        <v>134111</v>
      </c>
      <c r="G281" t="s">
        <v>23</v>
      </c>
      <c r="H281" t="s">
        <v>17</v>
      </c>
      <c r="I281">
        <v>184398</v>
      </c>
      <c r="J281">
        <v>50287</v>
      </c>
      <c r="K281" t="s">
        <v>33</v>
      </c>
      <c r="L281" t="s">
        <v>647</v>
      </c>
    </row>
    <row r="282" spans="1:12" x14ac:dyDescent="0.35">
      <c r="A282" t="s">
        <v>648</v>
      </c>
      <c r="B282">
        <v>45905</v>
      </c>
      <c r="C282" t="s">
        <v>13</v>
      </c>
      <c r="D282" t="s">
        <v>21</v>
      </c>
      <c r="E282" t="s">
        <v>22</v>
      </c>
      <c r="F282">
        <v>56375</v>
      </c>
      <c r="G282" t="s">
        <v>23</v>
      </c>
      <c r="H282" t="s">
        <v>17</v>
      </c>
      <c r="I282">
        <v>80924</v>
      </c>
      <c r="J282">
        <v>24549</v>
      </c>
      <c r="K282" t="s">
        <v>62</v>
      </c>
      <c r="L282" t="s">
        <v>649</v>
      </c>
    </row>
    <row r="283" spans="1:12" x14ac:dyDescent="0.35">
      <c r="A283" t="s">
        <v>650</v>
      </c>
      <c r="B283">
        <v>45911</v>
      </c>
      <c r="C283" t="s">
        <v>13</v>
      </c>
      <c r="D283" t="s">
        <v>31</v>
      </c>
      <c r="E283" t="s">
        <v>290</v>
      </c>
      <c r="F283">
        <v>177111</v>
      </c>
      <c r="G283" t="s">
        <v>23</v>
      </c>
      <c r="H283" t="s">
        <v>43</v>
      </c>
      <c r="I283">
        <v>240038</v>
      </c>
      <c r="J283">
        <v>62927</v>
      </c>
      <c r="K283" t="s">
        <v>66</v>
      </c>
      <c r="L283" t="s">
        <v>651</v>
      </c>
    </row>
    <row r="284" spans="1:12" x14ac:dyDescent="0.35">
      <c r="A284" t="s">
        <v>652</v>
      </c>
      <c r="B284">
        <v>45928</v>
      </c>
      <c r="C284" t="s">
        <v>13</v>
      </c>
      <c r="D284" t="s">
        <v>58</v>
      </c>
      <c r="E284" t="s">
        <v>287</v>
      </c>
      <c r="F284">
        <v>48603</v>
      </c>
      <c r="G284" t="s">
        <v>16</v>
      </c>
      <c r="H284" t="s">
        <v>17</v>
      </c>
      <c r="I284">
        <v>68950</v>
      </c>
      <c r="J284">
        <v>20347</v>
      </c>
      <c r="K284" t="s">
        <v>28</v>
      </c>
      <c r="L284" t="s">
        <v>653</v>
      </c>
    </row>
    <row r="285" spans="1:12" x14ac:dyDescent="0.35">
      <c r="A285" t="s">
        <v>654</v>
      </c>
      <c r="B285">
        <v>45922</v>
      </c>
      <c r="C285" t="s">
        <v>21</v>
      </c>
      <c r="D285" t="s">
        <v>58</v>
      </c>
      <c r="E285" t="s">
        <v>301</v>
      </c>
      <c r="F285">
        <v>57844</v>
      </c>
      <c r="G285" t="s">
        <v>23</v>
      </c>
      <c r="H285" t="s">
        <v>17</v>
      </c>
      <c r="I285">
        <v>69887</v>
      </c>
      <c r="J285">
        <v>12043</v>
      </c>
      <c r="K285" t="s">
        <v>18</v>
      </c>
      <c r="L285" t="s">
        <v>655</v>
      </c>
    </row>
    <row r="286" spans="1:12" x14ac:dyDescent="0.35">
      <c r="A286" t="s">
        <v>656</v>
      </c>
      <c r="B286">
        <v>45915</v>
      </c>
      <c r="C286" t="s">
        <v>21</v>
      </c>
      <c r="D286" t="s">
        <v>21</v>
      </c>
      <c r="E286" t="s">
        <v>513</v>
      </c>
      <c r="F286">
        <v>79897</v>
      </c>
      <c r="G286" t="s">
        <v>23</v>
      </c>
      <c r="H286" t="s">
        <v>17</v>
      </c>
      <c r="I286">
        <v>83251</v>
      </c>
      <c r="J286">
        <v>3354</v>
      </c>
      <c r="K286" t="s">
        <v>28</v>
      </c>
      <c r="L286" t="s">
        <v>657</v>
      </c>
    </row>
    <row r="287" spans="1:12" x14ac:dyDescent="0.35">
      <c r="A287" t="s">
        <v>658</v>
      </c>
      <c r="B287">
        <v>45927</v>
      </c>
      <c r="C287" t="s">
        <v>21</v>
      </c>
      <c r="D287" t="s">
        <v>36</v>
      </c>
      <c r="E287" t="s">
        <v>37</v>
      </c>
      <c r="F287">
        <v>27671</v>
      </c>
      <c r="G287" t="s">
        <v>23</v>
      </c>
      <c r="H287" t="s">
        <v>17</v>
      </c>
      <c r="I287">
        <v>36461</v>
      </c>
      <c r="J287">
        <v>8790</v>
      </c>
      <c r="K287" t="s">
        <v>66</v>
      </c>
      <c r="L287" t="s">
        <v>659</v>
      </c>
    </row>
    <row r="288" spans="1:12" x14ac:dyDescent="0.35">
      <c r="A288" t="s">
        <v>660</v>
      </c>
      <c r="B288">
        <v>45919</v>
      </c>
      <c r="C288" t="s">
        <v>21</v>
      </c>
      <c r="D288" t="s">
        <v>54</v>
      </c>
      <c r="E288" t="s">
        <v>158</v>
      </c>
      <c r="F288">
        <v>2928</v>
      </c>
      <c r="G288" t="s">
        <v>23</v>
      </c>
      <c r="H288" t="s">
        <v>43</v>
      </c>
      <c r="I288">
        <v>3428</v>
      </c>
      <c r="J288">
        <v>500</v>
      </c>
      <c r="K288" t="s">
        <v>69</v>
      </c>
      <c r="L288" t="s">
        <v>661</v>
      </c>
    </row>
    <row r="289" spans="1:12" x14ac:dyDescent="0.35">
      <c r="A289" t="s">
        <v>662</v>
      </c>
      <c r="B289">
        <v>45903</v>
      </c>
      <c r="C289" t="s">
        <v>21</v>
      </c>
      <c r="D289" t="s">
        <v>14</v>
      </c>
      <c r="E289" t="s">
        <v>42</v>
      </c>
      <c r="F289">
        <v>7935</v>
      </c>
      <c r="G289" t="s">
        <v>51</v>
      </c>
      <c r="H289" t="s">
        <v>17</v>
      </c>
      <c r="I289">
        <v>8659</v>
      </c>
      <c r="J289">
        <v>724</v>
      </c>
      <c r="K289" t="s">
        <v>28</v>
      </c>
      <c r="L289" t="s">
        <v>663</v>
      </c>
    </row>
    <row r="290" spans="1:12" x14ac:dyDescent="0.35">
      <c r="A290" t="s">
        <v>664</v>
      </c>
      <c r="B290">
        <v>45907</v>
      </c>
      <c r="C290" t="s">
        <v>21</v>
      </c>
      <c r="D290" t="s">
        <v>58</v>
      </c>
      <c r="E290" t="s">
        <v>301</v>
      </c>
      <c r="F290">
        <v>27195</v>
      </c>
      <c r="G290" t="s">
        <v>16</v>
      </c>
      <c r="H290" t="s">
        <v>17</v>
      </c>
      <c r="I290">
        <v>37920</v>
      </c>
      <c r="J290">
        <v>10725</v>
      </c>
      <c r="K290" t="s">
        <v>62</v>
      </c>
      <c r="L290" t="s">
        <v>665</v>
      </c>
    </row>
    <row r="291" spans="1:12" x14ac:dyDescent="0.35">
      <c r="A291" t="s">
        <v>666</v>
      </c>
      <c r="B291">
        <v>45928</v>
      </c>
      <c r="C291" t="s">
        <v>21</v>
      </c>
      <c r="D291" t="s">
        <v>132</v>
      </c>
      <c r="E291" t="s">
        <v>153</v>
      </c>
      <c r="F291">
        <v>25311</v>
      </c>
      <c r="G291" t="s">
        <v>51</v>
      </c>
      <c r="H291" t="s">
        <v>17</v>
      </c>
      <c r="I291">
        <v>33440</v>
      </c>
      <c r="J291">
        <v>8129</v>
      </c>
      <c r="K291" t="s">
        <v>66</v>
      </c>
      <c r="L291" t="s">
        <v>667</v>
      </c>
    </row>
    <row r="292" spans="1:12" x14ac:dyDescent="0.35">
      <c r="A292" t="s">
        <v>668</v>
      </c>
      <c r="B292">
        <v>45919</v>
      </c>
      <c r="C292" t="s">
        <v>46</v>
      </c>
      <c r="D292" t="s">
        <v>132</v>
      </c>
      <c r="E292" t="s">
        <v>174</v>
      </c>
      <c r="F292">
        <v>8832</v>
      </c>
      <c r="G292" t="s">
        <v>16</v>
      </c>
      <c r="H292" t="s">
        <v>17</v>
      </c>
      <c r="I292">
        <v>10064</v>
      </c>
      <c r="J292">
        <v>1232</v>
      </c>
      <c r="K292" t="s">
        <v>18</v>
      </c>
      <c r="L292" t="s">
        <v>669</v>
      </c>
    </row>
    <row r="293" spans="1:12" x14ac:dyDescent="0.35">
      <c r="A293" t="s">
        <v>670</v>
      </c>
      <c r="B293">
        <v>45910</v>
      </c>
      <c r="C293" t="s">
        <v>46</v>
      </c>
      <c r="D293" t="s">
        <v>132</v>
      </c>
      <c r="E293" t="s">
        <v>174</v>
      </c>
      <c r="F293">
        <v>9528</v>
      </c>
      <c r="G293" t="s">
        <v>16</v>
      </c>
      <c r="H293" t="s">
        <v>17</v>
      </c>
      <c r="I293">
        <v>10372</v>
      </c>
      <c r="J293">
        <v>844</v>
      </c>
      <c r="K293" t="s">
        <v>66</v>
      </c>
      <c r="L293" t="s">
        <v>671</v>
      </c>
    </row>
    <row r="294" spans="1:12" x14ac:dyDescent="0.35">
      <c r="A294" t="s">
        <v>672</v>
      </c>
      <c r="B294">
        <v>45912</v>
      </c>
      <c r="C294" t="s">
        <v>46</v>
      </c>
      <c r="D294" t="s">
        <v>31</v>
      </c>
      <c r="E294" t="s">
        <v>50</v>
      </c>
      <c r="F294">
        <v>103101</v>
      </c>
      <c r="G294" t="s">
        <v>38</v>
      </c>
      <c r="H294" t="s">
        <v>17</v>
      </c>
      <c r="I294">
        <v>132933</v>
      </c>
      <c r="J294">
        <v>29832</v>
      </c>
      <c r="K294" t="s">
        <v>80</v>
      </c>
      <c r="L294" t="s">
        <v>673</v>
      </c>
    </row>
    <row r="295" spans="1:12" x14ac:dyDescent="0.35">
      <c r="A295" t="s">
        <v>674</v>
      </c>
      <c r="B295">
        <v>45907</v>
      </c>
      <c r="C295" t="s">
        <v>46</v>
      </c>
      <c r="D295" t="s">
        <v>36</v>
      </c>
      <c r="E295" t="s">
        <v>47</v>
      </c>
      <c r="F295">
        <v>25408</v>
      </c>
      <c r="G295" t="s">
        <v>38</v>
      </c>
      <c r="H295" t="s">
        <v>17</v>
      </c>
      <c r="I295">
        <v>32242</v>
      </c>
      <c r="J295">
        <v>6834</v>
      </c>
      <c r="K295" t="s">
        <v>66</v>
      </c>
      <c r="L295" t="s">
        <v>675</v>
      </c>
    </row>
    <row r="296" spans="1:12" x14ac:dyDescent="0.35">
      <c r="A296" t="s">
        <v>676</v>
      </c>
      <c r="B296">
        <v>45918</v>
      </c>
      <c r="C296" t="s">
        <v>46</v>
      </c>
      <c r="D296" t="s">
        <v>54</v>
      </c>
      <c r="E296" t="s">
        <v>55</v>
      </c>
      <c r="F296">
        <v>12463</v>
      </c>
      <c r="G296" t="s">
        <v>16</v>
      </c>
      <c r="H296" t="s">
        <v>17</v>
      </c>
      <c r="I296">
        <v>18498</v>
      </c>
      <c r="J296">
        <v>6035</v>
      </c>
      <c r="K296" t="s">
        <v>116</v>
      </c>
      <c r="L296" t="s">
        <v>677</v>
      </c>
    </row>
    <row r="297" spans="1:12" x14ac:dyDescent="0.35">
      <c r="A297" t="s">
        <v>678</v>
      </c>
      <c r="B297">
        <v>45902</v>
      </c>
      <c r="C297" t="s">
        <v>46</v>
      </c>
      <c r="D297" t="s">
        <v>132</v>
      </c>
      <c r="E297" t="s">
        <v>174</v>
      </c>
      <c r="F297">
        <v>10151</v>
      </c>
      <c r="G297" t="s">
        <v>23</v>
      </c>
      <c r="H297" t="s">
        <v>43</v>
      </c>
      <c r="I297">
        <v>12525</v>
      </c>
      <c r="J297">
        <v>2374</v>
      </c>
      <c r="K297" t="s">
        <v>39</v>
      </c>
      <c r="L297" t="s">
        <v>679</v>
      </c>
    </row>
    <row r="298" spans="1:12" x14ac:dyDescent="0.35">
      <c r="A298" t="s">
        <v>680</v>
      </c>
      <c r="B298">
        <v>45919</v>
      </c>
      <c r="C298" t="s">
        <v>72</v>
      </c>
      <c r="D298" t="s">
        <v>31</v>
      </c>
      <c r="E298" t="s">
        <v>177</v>
      </c>
      <c r="F298">
        <v>163831</v>
      </c>
      <c r="G298" t="s">
        <v>38</v>
      </c>
      <c r="H298" t="s">
        <v>43</v>
      </c>
      <c r="I298">
        <v>190289</v>
      </c>
      <c r="J298">
        <v>26458</v>
      </c>
      <c r="K298" t="s">
        <v>80</v>
      </c>
      <c r="L298" t="s">
        <v>681</v>
      </c>
    </row>
    <row r="299" spans="1:12" x14ac:dyDescent="0.35">
      <c r="A299" t="s">
        <v>682</v>
      </c>
      <c r="B299">
        <v>45901</v>
      </c>
      <c r="C299" t="s">
        <v>72</v>
      </c>
      <c r="D299" t="s">
        <v>14</v>
      </c>
      <c r="E299" t="s">
        <v>89</v>
      </c>
      <c r="F299">
        <v>43253</v>
      </c>
      <c r="G299" t="s">
        <v>51</v>
      </c>
      <c r="H299" t="s">
        <v>17</v>
      </c>
      <c r="I299">
        <v>51014</v>
      </c>
      <c r="J299">
        <v>7761</v>
      </c>
      <c r="K299" t="s">
        <v>69</v>
      </c>
      <c r="L299" t="s">
        <v>683</v>
      </c>
    </row>
    <row r="300" spans="1:12" x14ac:dyDescent="0.35">
      <c r="A300" t="s">
        <v>684</v>
      </c>
      <c r="B300">
        <v>45906</v>
      </c>
      <c r="C300" t="s">
        <v>72</v>
      </c>
      <c r="D300" t="s">
        <v>54</v>
      </c>
      <c r="E300" t="s">
        <v>79</v>
      </c>
      <c r="F300">
        <v>11614</v>
      </c>
      <c r="G300" t="s">
        <v>16</v>
      </c>
      <c r="H300" t="s">
        <v>17</v>
      </c>
      <c r="I300">
        <v>16858</v>
      </c>
      <c r="J300">
        <v>5244</v>
      </c>
      <c r="K300" t="s">
        <v>39</v>
      </c>
      <c r="L300" t="s">
        <v>685</v>
      </c>
    </row>
    <row r="301" spans="1:12" x14ac:dyDescent="0.35">
      <c r="A301" t="s">
        <v>686</v>
      </c>
      <c r="B301">
        <v>45920</v>
      </c>
      <c r="C301" t="s">
        <v>72</v>
      </c>
      <c r="D301" t="s">
        <v>21</v>
      </c>
      <c r="E301" t="s">
        <v>73</v>
      </c>
      <c r="F301">
        <v>15701</v>
      </c>
      <c r="G301" t="s">
        <v>38</v>
      </c>
      <c r="H301" t="s">
        <v>43</v>
      </c>
      <c r="I301">
        <v>19147</v>
      </c>
      <c r="J301">
        <v>3446</v>
      </c>
      <c r="K301" t="s">
        <v>28</v>
      </c>
      <c r="L301" t="s">
        <v>687</v>
      </c>
    </row>
    <row r="302" spans="1:12" x14ac:dyDescent="0.35">
      <c r="A302" t="s">
        <v>688</v>
      </c>
      <c r="B302">
        <v>45909</v>
      </c>
      <c r="C302" t="s">
        <v>92</v>
      </c>
      <c r="D302" t="s">
        <v>36</v>
      </c>
      <c r="E302" t="s">
        <v>109</v>
      </c>
      <c r="F302">
        <v>67072</v>
      </c>
      <c r="G302" t="s">
        <v>16</v>
      </c>
      <c r="H302" t="s">
        <v>43</v>
      </c>
      <c r="I302">
        <v>95044</v>
      </c>
      <c r="J302">
        <v>27972</v>
      </c>
      <c r="K302" t="s">
        <v>33</v>
      </c>
      <c r="L302" t="s">
        <v>689</v>
      </c>
    </row>
    <row r="303" spans="1:12" x14ac:dyDescent="0.35">
      <c r="A303" t="s">
        <v>690</v>
      </c>
      <c r="B303">
        <v>45908</v>
      </c>
      <c r="C303" t="s">
        <v>92</v>
      </c>
      <c r="D303" t="s">
        <v>36</v>
      </c>
      <c r="E303" t="s">
        <v>109</v>
      </c>
      <c r="F303">
        <v>44344</v>
      </c>
      <c r="G303" t="s">
        <v>23</v>
      </c>
      <c r="H303" t="s">
        <v>17</v>
      </c>
      <c r="I303">
        <v>45234</v>
      </c>
      <c r="J303">
        <v>890</v>
      </c>
      <c r="K303" t="s">
        <v>86</v>
      </c>
      <c r="L303" t="s">
        <v>691</v>
      </c>
    </row>
    <row r="304" spans="1:12" x14ac:dyDescent="0.35">
      <c r="A304" t="s">
        <v>692</v>
      </c>
      <c r="B304">
        <v>45917</v>
      </c>
      <c r="C304" t="s">
        <v>92</v>
      </c>
      <c r="D304" t="s">
        <v>36</v>
      </c>
      <c r="E304" t="s">
        <v>109</v>
      </c>
      <c r="F304">
        <v>82735</v>
      </c>
      <c r="G304" t="s">
        <v>51</v>
      </c>
      <c r="H304" t="s">
        <v>17</v>
      </c>
      <c r="I304">
        <v>83916</v>
      </c>
      <c r="J304">
        <v>1181</v>
      </c>
      <c r="K304" t="s">
        <v>28</v>
      </c>
      <c r="L304" t="s">
        <v>693</v>
      </c>
    </row>
    <row r="305" spans="1:12" x14ac:dyDescent="0.35">
      <c r="A305" t="s">
        <v>694</v>
      </c>
      <c r="B305">
        <v>45905</v>
      </c>
      <c r="C305" t="s">
        <v>92</v>
      </c>
      <c r="D305" t="s">
        <v>26</v>
      </c>
      <c r="E305" t="s">
        <v>191</v>
      </c>
      <c r="F305">
        <v>5152</v>
      </c>
      <c r="G305" t="s">
        <v>16</v>
      </c>
      <c r="H305" t="s">
        <v>17</v>
      </c>
      <c r="I305">
        <v>7089</v>
      </c>
      <c r="J305">
        <v>1937</v>
      </c>
      <c r="K305" t="s">
        <v>62</v>
      </c>
      <c r="L305" t="s">
        <v>695</v>
      </c>
    </row>
    <row r="306" spans="1:12" x14ac:dyDescent="0.35">
      <c r="A306" t="s">
        <v>696</v>
      </c>
      <c r="B306">
        <v>45906</v>
      </c>
      <c r="C306" t="s">
        <v>92</v>
      </c>
      <c r="D306" t="s">
        <v>21</v>
      </c>
      <c r="E306" t="s">
        <v>106</v>
      </c>
      <c r="F306">
        <v>100728</v>
      </c>
      <c r="G306" t="s">
        <v>38</v>
      </c>
      <c r="H306" t="s">
        <v>17</v>
      </c>
      <c r="I306">
        <v>123831</v>
      </c>
      <c r="J306">
        <v>23103</v>
      </c>
      <c r="K306" t="s">
        <v>39</v>
      </c>
      <c r="L306" t="s">
        <v>697</v>
      </c>
    </row>
    <row r="307" spans="1:12" x14ac:dyDescent="0.35">
      <c r="A307" t="s">
        <v>698</v>
      </c>
      <c r="B307">
        <v>45906</v>
      </c>
      <c r="C307" t="s">
        <v>92</v>
      </c>
      <c r="D307" t="s">
        <v>21</v>
      </c>
      <c r="E307" t="s">
        <v>106</v>
      </c>
      <c r="F307">
        <v>88979</v>
      </c>
      <c r="G307" t="s">
        <v>51</v>
      </c>
      <c r="H307" t="s">
        <v>17</v>
      </c>
      <c r="I307">
        <v>102661</v>
      </c>
      <c r="J307">
        <v>13682</v>
      </c>
      <c r="K307" t="s">
        <v>86</v>
      </c>
      <c r="L307" t="s">
        <v>699</v>
      </c>
    </row>
    <row r="308" spans="1:12" x14ac:dyDescent="0.35">
      <c r="A308" t="s">
        <v>700</v>
      </c>
      <c r="B308">
        <v>45928</v>
      </c>
      <c r="C308" t="s">
        <v>92</v>
      </c>
      <c r="D308" t="s">
        <v>26</v>
      </c>
      <c r="E308" t="s">
        <v>191</v>
      </c>
      <c r="F308">
        <v>1762</v>
      </c>
      <c r="G308" t="s">
        <v>16</v>
      </c>
      <c r="H308" t="s">
        <v>17</v>
      </c>
      <c r="I308">
        <v>2365</v>
      </c>
      <c r="J308">
        <v>603</v>
      </c>
      <c r="K308" t="s">
        <v>69</v>
      </c>
      <c r="L308" t="s">
        <v>701</v>
      </c>
    </row>
    <row r="309" spans="1:12" x14ac:dyDescent="0.35">
      <c r="A309" t="s">
        <v>702</v>
      </c>
      <c r="B309">
        <v>45922</v>
      </c>
      <c r="C309" t="s">
        <v>92</v>
      </c>
      <c r="D309" t="s">
        <v>54</v>
      </c>
      <c r="E309" t="s">
        <v>96</v>
      </c>
      <c r="F309">
        <v>2636</v>
      </c>
      <c r="G309" t="s">
        <v>38</v>
      </c>
      <c r="H309" t="s">
        <v>17</v>
      </c>
      <c r="I309">
        <v>3257</v>
      </c>
      <c r="J309">
        <v>621</v>
      </c>
      <c r="K309" t="s">
        <v>69</v>
      </c>
      <c r="L309" t="s">
        <v>703</v>
      </c>
    </row>
    <row r="310" spans="1:12" x14ac:dyDescent="0.35">
      <c r="A310" t="s">
        <v>704</v>
      </c>
      <c r="B310">
        <v>45904</v>
      </c>
      <c r="C310" t="s">
        <v>114</v>
      </c>
      <c r="D310" t="s">
        <v>31</v>
      </c>
      <c r="E310" t="s">
        <v>281</v>
      </c>
      <c r="F310">
        <v>195132</v>
      </c>
      <c r="G310" t="s">
        <v>38</v>
      </c>
      <c r="H310" t="s">
        <v>17</v>
      </c>
      <c r="I310">
        <v>218815</v>
      </c>
      <c r="J310">
        <v>23683</v>
      </c>
      <c r="K310" t="s">
        <v>33</v>
      </c>
      <c r="L310" t="s">
        <v>705</v>
      </c>
    </row>
    <row r="311" spans="1:12" x14ac:dyDescent="0.35">
      <c r="A311" t="s">
        <v>706</v>
      </c>
      <c r="B311">
        <v>45910</v>
      </c>
      <c r="C311" t="s">
        <v>114</v>
      </c>
      <c r="D311" t="s">
        <v>36</v>
      </c>
      <c r="E311" t="s">
        <v>129</v>
      </c>
      <c r="F311">
        <v>106352</v>
      </c>
      <c r="G311" t="s">
        <v>38</v>
      </c>
      <c r="H311" t="s">
        <v>43</v>
      </c>
      <c r="I311">
        <v>123746</v>
      </c>
      <c r="J311">
        <v>17394</v>
      </c>
      <c r="K311" t="s">
        <v>86</v>
      </c>
      <c r="L311" t="s">
        <v>707</v>
      </c>
    </row>
    <row r="312" spans="1:12" x14ac:dyDescent="0.35">
      <c r="A312" t="s">
        <v>708</v>
      </c>
      <c r="B312">
        <v>45924</v>
      </c>
      <c r="C312" t="s">
        <v>114</v>
      </c>
      <c r="D312" t="s">
        <v>14</v>
      </c>
      <c r="E312" t="s">
        <v>284</v>
      </c>
      <c r="F312">
        <v>24732</v>
      </c>
      <c r="G312" t="s">
        <v>23</v>
      </c>
      <c r="H312" t="s">
        <v>17</v>
      </c>
      <c r="I312">
        <v>30770</v>
      </c>
      <c r="J312">
        <v>6038</v>
      </c>
      <c r="K312" t="s">
        <v>28</v>
      </c>
      <c r="L312" t="s">
        <v>709</v>
      </c>
    </row>
    <row r="313" spans="1:12" x14ac:dyDescent="0.35">
      <c r="A313" t="s">
        <v>710</v>
      </c>
      <c r="B313">
        <v>45917</v>
      </c>
      <c r="C313" t="s">
        <v>114</v>
      </c>
      <c r="D313" t="s">
        <v>26</v>
      </c>
      <c r="E313" t="s">
        <v>119</v>
      </c>
      <c r="F313">
        <v>3523</v>
      </c>
      <c r="G313" t="s">
        <v>23</v>
      </c>
      <c r="H313" t="s">
        <v>43</v>
      </c>
      <c r="I313">
        <v>4161</v>
      </c>
      <c r="J313">
        <v>638</v>
      </c>
      <c r="K313" t="s">
        <v>28</v>
      </c>
      <c r="L313" t="s">
        <v>711</v>
      </c>
    </row>
    <row r="314" spans="1:12" x14ac:dyDescent="0.35">
      <c r="A314" t="s">
        <v>712</v>
      </c>
      <c r="B314">
        <v>45916</v>
      </c>
      <c r="C314" t="s">
        <v>114</v>
      </c>
      <c r="D314" t="s">
        <v>14</v>
      </c>
      <c r="E314" t="s">
        <v>284</v>
      </c>
      <c r="F314">
        <v>44308</v>
      </c>
      <c r="G314" t="s">
        <v>51</v>
      </c>
      <c r="H314" t="s">
        <v>17</v>
      </c>
      <c r="I314">
        <v>49405</v>
      </c>
      <c r="J314">
        <v>5097</v>
      </c>
      <c r="K314" t="s">
        <v>18</v>
      </c>
      <c r="L314" t="s">
        <v>713</v>
      </c>
    </row>
    <row r="315" spans="1:12" x14ac:dyDescent="0.35">
      <c r="A315" t="s">
        <v>714</v>
      </c>
      <c r="B315">
        <v>45921</v>
      </c>
      <c r="C315" t="s">
        <v>114</v>
      </c>
      <c r="D315" t="s">
        <v>36</v>
      </c>
      <c r="E315" t="s">
        <v>129</v>
      </c>
      <c r="F315">
        <v>17170</v>
      </c>
      <c r="G315" t="s">
        <v>51</v>
      </c>
      <c r="H315" t="s">
        <v>17</v>
      </c>
      <c r="I315">
        <v>20085</v>
      </c>
      <c r="J315">
        <v>2915</v>
      </c>
      <c r="K315" t="s">
        <v>39</v>
      </c>
      <c r="L315" t="s">
        <v>715</v>
      </c>
    </row>
    <row r="316" spans="1:12" x14ac:dyDescent="0.35">
      <c r="A316" t="s">
        <v>716</v>
      </c>
      <c r="B316">
        <v>45932</v>
      </c>
      <c r="C316" t="s">
        <v>13</v>
      </c>
      <c r="D316" t="s">
        <v>36</v>
      </c>
      <c r="E316" t="s">
        <v>139</v>
      </c>
      <c r="F316">
        <v>93509</v>
      </c>
      <c r="G316" t="s">
        <v>16</v>
      </c>
      <c r="H316" t="s">
        <v>17</v>
      </c>
      <c r="I316">
        <v>131907</v>
      </c>
      <c r="J316">
        <v>38398</v>
      </c>
      <c r="K316" t="s">
        <v>39</v>
      </c>
      <c r="L316" t="s">
        <v>717</v>
      </c>
    </row>
    <row r="317" spans="1:12" x14ac:dyDescent="0.35">
      <c r="A317" t="s">
        <v>718</v>
      </c>
      <c r="B317">
        <v>45934</v>
      </c>
      <c r="C317" t="s">
        <v>13</v>
      </c>
      <c r="D317" t="s">
        <v>36</v>
      </c>
      <c r="E317" t="s">
        <v>139</v>
      </c>
      <c r="F317">
        <v>94435</v>
      </c>
      <c r="G317" t="s">
        <v>38</v>
      </c>
      <c r="H317" t="s">
        <v>17</v>
      </c>
      <c r="I317">
        <v>118863</v>
      </c>
      <c r="J317">
        <v>24428</v>
      </c>
      <c r="K317" t="s">
        <v>33</v>
      </c>
      <c r="L317" t="s">
        <v>719</v>
      </c>
    </row>
    <row r="318" spans="1:12" x14ac:dyDescent="0.35">
      <c r="A318" t="s">
        <v>720</v>
      </c>
      <c r="B318">
        <v>45956</v>
      </c>
      <c r="C318" t="s">
        <v>13</v>
      </c>
      <c r="D318" t="s">
        <v>14</v>
      </c>
      <c r="E318" t="s">
        <v>15</v>
      </c>
      <c r="F318">
        <v>44983</v>
      </c>
      <c r="G318" t="s">
        <v>23</v>
      </c>
      <c r="H318" t="s">
        <v>17</v>
      </c>
      <c r="I318">
        <v>64381</v>
      </c>
      <c r="J318">
        <v>19398</v>
      </c>
      <c r="K318" t="s">
        <v>33</v>
      </c>
      <c r="L318" t="s">
        <v>721</v>
      </c>
    </row>
    <row r="319" spans="1:12" x14ac:dyDescent="0.35">
      <c r="A319" t="s">
        <v>722</v>
      </c>
      <c r="B319">
        <v>45946</v>
      </c>
      <c r="C319" t="s">
        <v>13</v>
      </c>
      <c r="D319" t="s">
        <v>36</v>
      </c>
      <c r="E319" t="s">
        <v>139</v>
      </c>
      <c r="F319">
        <v>94954</v>
      </c>
      <c r="G319" t="s">
        <v>38</v>
      </c>
      <c r="H319" t="s">
        <v>17</v>
      </c>
      <c r="I319">
        <v>116541</v>
      </c>
      <c r="J319">
        <v>21587</v>
      </c>
      <c r="K319" t="s">
        <v>80</v>
      </c>
      <c r="L319" t="s">
        <v>723</v>
      </c>
    </row>
    <row r="320" spans="1:12" x14ac:dyDescent="0.35">
      <c r="A320" t="s">
        <v>724</v>
      </c>
      <c r="B320">
        <v>45934</v>
      </c>
      <c r="C320" t="s">
        <v>13</v>
      </c>
      <c r="D320" t="s">
        <v>36</v>
      </c>
      <c r="E320" t="s">
        <v>139</v>
      </c>
      <c r="F320">
        <v>38901</v>
      </c>
      <c r="G320" t="s">
        <v>38</v>
      </c>
      <c r="H320" t="s">
        <v>43</v>
      </c>
      <c r="I320">
        <v>53335</v>
      </c>
      <c r="J320">
        <v>14434</v>
      </c>
      <c r="K320" t="s">
        <v>33</v>
      </c>
      <c r="L320" t="s">
        <v>725</v>
      </c>
    </row>
    <row r="321" spans="1:12" x14ac:dyDescent="0.35">
      <c r="A321" t="s">
        <v>726</v>
      </c>
      <c r="B321">
        <v>45942</v>
      </c>
      <c r="C321" t="s">
        <v>21</v>
      </c>
      <c r="D321" t="s">
        <v>54</v>
      </c>
      <c r="E321" t="s">
        <v>158</v>
      </c>
      <c r="F321">
        <v>14830</v>
      </c>
      <c r="G321" t="s">
        <v>23</v>
      </c>
      <c r="H321" t="s">
        <v>17</v>
      </c>
      <c r="I321">
        <v>18797</v>
      </c>
      <c r="J321">
        <v>3967</v>
      </c>
      <c r="K321" t="s">
        <v>86</v>
      </c>
      <c r="L321" t="s">
        <v>727</v>
      </c>
    </row>
    <row r="322" spans="1:12" x14ac:dyDescent="0.35">
      <c r="A322" t="s">
        <v>728</v>
      </c>
      <c r="B322">
        <v>45935</v>
      </c>
      <c r="C322" t="s">
        <v>21</v>
      </c>
      <c r="D322" t="s">
        <v>36</v>
      </c>
      <c r="E322" t="s">
        <v>37</v>
      </c>
      <c r="F322">
        <v>119073</v>
      </c>
      <c r="G322" t="s">
        <v>23</v>
      </c>
      <c r="H322" t="s">
        <v>17</v>
      </c>
      <c r="I322">
        <v>159243</v>
      </c>
      <c r="J322">
        <v>40170</v>
      </c>
      <c r="K322" t="s">
        <v>28</v>
      </c>
      <c r="L322" t="s">
        <v>729</v>
      </c>
    </row>
    <row r="323" spans="1:12" x14ac:dyDescent="0.35">
      <c r="A323" t="s">
        <v>730</v>
      </c>
      <c r="B323">
        <v>45954</v>
      </c>
      <c r="C323" t="s">
        <v>21</v>
      </c>
      <c r="D323" t="s">
        <v>26</v>
      </c>
      <c r="E323" t="s">
        <v>219</v>
      </c>
      <c r="F323">
        <v>4718</v>
      </c>
      <c r="G323" t="s">
        <v>38</v>
      </c>
      <c r="H323" t="s">
        <v>17</v>
      </c>
      <c r="I323">
        <v>6635</v>
      </c>
      <c r="J323">
        <v>1917</v>
      </c>
      <c r="K323" t="s">
        <v>80</v>
      </c>
      <c r="L323" t="s">
        <v>731</v>
      </c>
    </row>
    <row r="324" spans="1:12" x14ac:dyDescent="0.35">
      <c r="A324" t="s">
        <v>732</v>
      </c>
      <c r="B324">
        <v>45946</v>
      </c>
      <c r="C324" t="s">
        <v>21</v>
      </c>
      <c r="D324" t="s">
        <v>132</v>
      </c>
      <c r="E324" t="s">
        <v>153</v>
      </c>
      <c r="F324">
        <v>4305</v>
      </c>
      <c r="G324" t="s">
        <v>38</v>
      </c>
      <c r="H324" t="s">
        <v>17</v>
      </c>
      <c r="I324">
        <v>4567</v>
      </c>
      <c r="J324">
        <v>262</v>
      </c>
      <c r="K324" t="s">
        <v>80</v>
      </c>
      <c r="L324" t="s">
        <v>733</v>
      </c>
    </row>
    <row r="325" spans="1:12" x14ac:dyDescent="0.35">
      <c r="A325" t="s">
        <v>734</v>
      </c>
      <c r="B325">
        <v>45952</v>
      </c>
      <c r="C325" t="s">
        <v>21</v>
      </c>
      <c r="D325" t="s">
        <v>54</v>
      </c>
      <c r="E325" t="s">
        <v>158</v>
      </c>
      <c r="F325">
        <v>5134</v>
      </c>
      <c r="G325" t="s">
        <v>16</v>
      </c>
      <c r="H325" t="s">
        <v>17</v>
      </c>
      <c r="I325">
        <v>6227</v>
      </c>
      <c r="J325">
        <v>1093</v>
      </c>
      <c r="K325" t="s">
        <v>116</v>
      </c>
      <c r="L325" t="s">
        <v>735</v>
      </c>
    </row>
    <row r="326" spans="1:12" x14ac:dyDescent="0.35">
      <c r="A326" t="s">
        <v>736</v>
      </c>
      <c r="B326">
        <v>45931</v>
      </c>
      <c r="C326" t="s">
        <v>21</v>
      </c>
      <c r="D326" t="s">
        <v>21</v>
      </c>
      <c r="E326" t="s">
        <v>513</v>
      </c>
      <c r="F326">
        <v>86871</v>
      </c>
      <c r="G326" t="s">
        <v>38</v>
      </c>
      <c r="H326" t="s">
        <v>17</v>
      </c>
      <c r="I326">
        <v>102372</v>
      </c>
      <c r="J326">
        <v>15501</v>
      </c>
      <c r="K326" t="s">
        <v>66</v>
      </c>
      <c r="L326" t="s">
        <v>737</v>
      </c>
    </row>
    <row r="327" spans="1:12" x14ac:dyDescent="0.35">
      <c r="A327" t="s">
        <v>738</v>
      </c>
      <c r="B327">
        <v>45932</v>
      </c>
      <c r="C327" t="s">
        <v>21</v>
      </c>
      <c r="D327" t="s">
        <v>58</v>
      </c>
      <c r="E327" t="s">
        <v>301</v>
      </c>
      <c r="F327">
        <v>19638</v>
      </c>
      <c r="G327" t="s">
        <v>38</v>
      </c>
      <c r="H327" t="s">
        <v>17</v>
      </c>
      <c r="I327">
        <v>23146</v>
      </c>
      <c r="J327">
        <v>3508</v>
      </c>
      <c r="K327" t="s">
        <v>39</v>
      </c>
      <c r="L327" t="s">
        <v>739</v>
      </c>
    </row>
    <row r="328" spans="1:12" x14ac:dyDescent="0.35">
      <c r="A328" t="s">
        <v>740</v>
      </c>
      <c r="B328">
        <v>45951</v>
      </c>
      <c r="C328" t="s">
        <v>21</v>
      </c>
      <c r="D328" t="s">
        <v>14</v>
      </c>
      <c r="E328" t="s">
        <v>42</v>
      </c>
      <c r="F328">
        <v>10261</v>
      </c>
      <c r="G328" t="s">
        <v>38</v>
      </c>
      <c r="H328" t="s">
        <v>17</v>
      </c>
      <c r="I328">
        <v>13990</v>
      </c>
      <c r="J328">
        <v>3729</v>
      </c>
      <c r="K328" t="s">
        <v>66</v>
      </c>
      <c r="L328" t="s">
        <v>741</v>
      </c>
    </row>
    <row r="329" spans="1:12" x14ac:dyDescent="0.35">
      <c r="A329" t="s">
        <v>742</v>
      </c>
      <c r="B329">
        <v>45954</v>
      </c>
      <c r="C329" t="s">
        <v>46</v>
      </c>
      <c r="D329" t="s">
        <v>26</v>
      </c>
      <c r="E329" t="s">
        <v>171</v>
      </c>
      <c r="F329">
        <v>7263</v>
      </c>
      <c r="G329" t="s">
        <v>38</v>
      </c>
      <c r="H329" t="s">
        <v>17</v>
      </c>
      <c r="I329">
        <v>10544</v>
      </c>
      <c r="J329">
        <v>3281</v>
      </c>
      <c r="K329" t="s">
        <v>62</v>
      </c>
      <c r="L329" t="s">
        <v>743</v>
      </c>
    </row>
    <row r="330" spans="1:12" x14ac:dyDescent="0.35">
      <c r="A330" t="s">
        <v>744</v>
      </c>
      <c r="B330">
        <v>45954</v>
      </c>
      <c r="C330" t="s">
        <v>46</v>
      </c>
      <c r="D330" t="s">
        <v>54</v>
      </c>
      <c r="E330" t="s">
        <v>55</v>
      </c>
      <c r="F330">
        <v>1627</v>
      </c>
      <c r="G330" t="s">
        <v>23</v>
      </c>
      <c r="H330" t="s">
        <v>17</v>
      </c>
      <c r="I330">
        <v>1746</v>
      </c>
      <c r="J330">
        <v>119</v>
      </c>
      <c r="K330" t="s">
        <v>116</v>
      </c>
      <c r="L330" t="s">
        <v>745</v>
      </c>
    </row>
    <row r="331" spans="1:12" x14ac:dyDescent="0.35">
      <c r="A331" t="s">
        <v>746</v>
      </c>
      <c r="B331">
        <v>45944</v>
      </c>
      <c r="C331" t="s">
        <v>46</v>
      </c>
      <c r="D331" t="s">
        <v>54</v>
      </c>
      <c r="E331" t="s">
        <v>55</v>
      </c>
      <c r="F331">
        <v>11432</v>
      </c>
      <c r="G331" t="s">
        <v>38</v>
      </c>
      <c r="H331" t="s">
        <v>17</v>
      </c>
      <c r="I331">
        <v>15715</v>
      </c>
      <c r="J331">
        <v>4283</v>
      </c>
      <c r="K331" t="s">
        <v>39</v>
      </c>
      <c r="L331" t="s">
        <v>747</v>
      </c>
    </row>
    <row r="332" spans="1:12" x14ac:dyDescent="0.35">
      <c r="A332" t="s">
        <v>748</v>
      </c>
      <c r="B332">
        <v>45956</v>
      </c>
      <c r="C332" t="s">
        <v>46</v>
      </c>
      <c r="D332" t="s">
        <v>14</v>
      </c>
      <c r="E332" t="s">
        <v>65</v>
      </c>
      <c r="F332">
        <v>30405</v>
      </c>
      <c r="G332" t="s">
        <v>51</v>
      </c>
      <c r="H332" t="s">
        <v>43</v>
      </c>
      <c r="I332">
        <v>45078</v>
      </c>
      <c r="J332">
        <v>14673</v>
      </c>
      <c r="K332" t="s">
        <v>66</v>
      </c>
      <c r="L332" t="s">
        <v>749</v>
      </c>
    </row>
    <row r="333" spans="1:12" x14ac:dyDescent="0.35">
      <c r="A333" t="s">
        <v>750</v>
      </c>
      <c r="B333">
        <v>45942</v>
      </c>
      <c r="C333" t="s">
        <v>46</v>
      </c>
      <c r="D333" t="s">
        <v>26</v>
      </c>
      <c r="E333" t="s">
        <v>171</v>
      </c>
      <c r="F333">
        <v>6187</v>
      </c>
      <c r="G333" t="s">
        <v>38</v>
      </c>
      <c r="H333" t="s">
        <v>17</v>
      </c>
      <c r="I333">
        <v>8659</v>
      </c>
      <c r="J333">
        <v>2472</v>
      </c>
      <c r="K333" t="s">
        <v>86</v>
      </c>
      <c r="L333" t="s">
        <v>751</v>
      </c>
    </row>
    <row r="334" spans="1:12" x14ac:dyDescent="0.35">
      <c r="A334" t="s">
        <v>752</v>
      </c>
      <c r="B334">
        <v>45932</v>
      </c>
      <c r="C334" t="s">
        <v>46</v>
      </c>
      <c r="D334" t="s">
        <v>21</v>
      </c>
      <c r="E334" t="s">
        <v>236</v>
      </c>
      <c r="F334">
        <v>82575</v>
      </c>
      <c r="G334" t="s">
        <v>38</v>
      </c>
      <c r="H334" t="s">
        <v>17</v>
      </c>
      <c r="I334">
        <v>103283</v>
      </c>
      <c r="J334">
        <v>20708</v>
      </c>
      <c r="K334" t="s">
        <v>66</v>
      </c>
      <c r="L334" t="s">
        <v>753</v>
      </c>
    </row>
    <row r="335" spans="1:12" x14ac:dyDescent="0.35">
      <c r="A335" t="s">
        <v>754</v>
      </c>
      <c r="B335">
        <v>45944</v>
      </c>
      <c r="C335" t="s">
        <v>72</v>
      </c>
      <c r="D335" t="s">
        <v>36</v>
      </c>
      <c r="E335" t="s">
        <v>76</v>
      </c>
      <c r="F335">
        <v>32149</v>
      </c>
      <c r="G335" t="s">
        <v>51</v>
      </c>
      <c r="H335" t="s">
        <v>17</v>
      </c>
      <c r="I335">
        <v>32450</v>
      </c>
      <c r="J335">
        <v>301</v>
      </c>
      <c r="K335" t="s">
        <v>66</v>
      </c>
      <c r="L335" t="s">
        <v>755</v>
      </c>
    </row>
    <row r="336" spans="1:12" x14ac:dyDescent="0.35">
      <c r="A336" t="s">
        <v>756</v>
      </c>
      <c r="B336">
        <v>45931</v>
      </c>
      <c r="C336" t="s">
        <v>72</v>
      </c>
      <c r="D336" t="s">
        <v>54</v>
      </c>
      <c r="E336" t="s">
        <v>79</v>
      </c>
      <c r="F336">
        <v>2591</v>
      </c>
      <c r="G336" t="s">
        <v>16</v>
      </c>
      <c r="H336" t="s">
        <v>17</v>
      </c>
      <c r="I336">
        <v>2878</v>
      </c>
      <c r="J336">
        <v>287</v>
      </c>
      <c r="K336" t="s">
        <v>62</v>
      </c>
      <c r="L336" t="s">
        <v>757</v>
      </c>
    </row>
    <row r="337" spans="1:12" x14ac:dyDescent="0.35">
      <c r="A337" t="s">
        <v>758</v>
      </c>
      <c r="B337">
        <v>45957</v>
      </c>
      <c r="C337" t="s">
        <v>72</v>
      </c>
      <c r="D337" t="s">
        <v>132</v>
      </c>
      <c r="E337" t="s">
        <v>247</v>
      </c>
      <c r="F337">
        <v>26860</v>
      </c>
      <c r="G337" t="s">
        <v>38</v>
      </c>
      <c r="H337" t="s">
        <v>43</v>
      </c>
      <c r="I337">
        <v>36423</v>
      </c>
      <c r="J337">
        <v>9563</v>
      </c>
      <c r="K337" t="s">
        <v>86</v>
      </c>
      <c r="L337" t="s">
        <v>759</v>
      </c>
    </row>
    <row r="338" spans="1:12" x14ac:dyDescent="0.35">
      <c r="A338" t="s">
        <v>760</v>
      </c>
      <c r="B338">
        <v>45948</v>
      </c>
      <c r="C338" t="s">
        <v>92</v>
      </c>
      <c r="D338" t="s">
        <v>54</v>
      </c>
      <c r="E338" t="s">
        <v>96</v>
      </c>
      <c r="F338">
        <v>9871</v>
      </c>
      <c r="G338" t="s">
        <v>23</v>
      </c>
      <c r="H338" t="s">
        <v>17</v>
      </c>
      <c r="I338">
        <v>11791</v>
      </c>
      <c r="J338">
        <v>1920</v>
      </c>
      <c r="K338" t="s">
        <v>33</v>
      </c>
      <c r="L338" t="s">
        <v>761</v>
      </c>
    </row>
    <row r="339" spans="1:12" x14ac:dyDescent="0.35">
      <c r="A339" t="s">
        <v>762</v>
      </c>
      <c r="B339">
        <v>45945</v>
      </c>
      <c r="C339" t="s">
        <v>92</v>
      </c>
      <c r="D339" t="s">
        <v>54</v>
      </c>
      <c r="E339" t="s">
        <v>96</v>
      </c>
      <c r="F339">
        <v>14477</v>
      </c>
      <c r="G339" t="s">
        <v>38</v>
      </c>
      <c r="H339" t="s">
        <v>17</v>
      </c>
      <c r="I339">
        <v>17694</v>
      </c>
      <c r="J339">
        <v>3217</v>
      </c>
      <c r="K339" t="s">
        <v>116</v>
      </c>
      <c r="L339" t="s">
        <v>763</v>
      </c>
    </row>
    <row r="340" spans="1:12" x14ac:dyDescent="0.35">
      <c r="A340" t="s">
        <v>764</v>
      </c>
      <c r="B340">
        <v>45952</v>
      </c>
      <c r="C340" t="s">
        <v>92</v>
      </c>
      <c r="D340" t="s">
        <v>36</v>
      </c>
      <c r="E340" t="s">
        <v>109</v>
      </c>
      <c r="F340">
        <v>38514</v>
      </c>
      <c r="G340" t="s">
        <v>23</v>
      </c>
      <c r="H340" t="s">
        <v>17</v>
      </c>
      <c r="I340">
        <v>46273</v>
      </c>
      <c r="J340">
        <v>7759</v>
      </c>
      <c r="K340" t="s">
        <v>116</v>
      </c>
      <c r="L340" t="s">
        <v>765</v>
      </c>
    </row>
    <row r="341" spans="1:12" x14ac:dyDescent="0.35">
      <c r="A341" t="s">
        <v>766</v>
      </c>
      <c r="B341">
        <v>45947</v>
      </c>
      <c r="C341" t="s">
        <v>92</v>
      </c>
      <c r="D341" t="s">
        <v>14</v>
      </c>
      <c r="E341" t="s">
        <v>93</v>
      </c>
      <c r="F341">
        <v>15602</v>
      </c>
      <c r="G341" t="s">
        <v>16</v>
      </c>
      <c r="H341" t="s">
        <v>17</v>
      </c>
      <c r="I341">
        <v>21437</v>
      </c>
      <c r="J341">
        <v>5835</v>
      </c>
      <c r="K341" t="s">
        <v>66</v>
      </c>
      <c r="L341" t="s">
        <v>767</v>
      </c>
    </row>
    <row r="342" spans="1:12" x14ac:dyDescent="0.35">
      <c r="A342" t="s">
        <v>768</v>
      </c>
      <c r="B342">
        <v>45935</v>
      </c>
      <c r="C342" t="s">
        <v>92</v>
      </c>
      <c r="D342" t="s">
        <v>31</v>
      </c>
      <c r="E342" t="s">
        <v>184</v>
      </c>
      <c r="F342">
        <v>186816</v>
      </c>
      <c r="G342" t="s">
        <v>51</v>
      </c>
      <c r="H342" t="s">
        <v>43</v>
      </c>
      <c r="I342">
        <v>230473</v>
      </c>
      <c r="J342">
        <v>43657</v>
      </c>
      <c r="K342" t="s">
        <v>33</v>
      </c>
      <c r="L342" t="s">
        <v>769</v>
      </c>
    </row>
    <row r="343" spans="1:12" x14ac:dyDescent="0.35">
      <c r="A343" t="s">
        <v>770</v>
      </c>
      <c r="B343">
        <v>45931</v>
      </c>
      <c r="C343" t="s">
        <v>92</v>
      </c>
      <c r="D343" t="s">
        <v>36</v>
      </c>
      <c r="E343" t="s">
        <v>109</v>
      </c>
      <c r="F343">
        <v>59446</v>
      </c>
      <c r="G343" t="s">
        <v>16</v>
      </c>
      <c r="H343" t="s">
        <v>43</v>
      </c>
      <c r="I343">
        <v>89045</v>
      </c>
      <c r="J343">
        <v>29599</v>
      </c>
      <c r="K343" t="s">
        <v>69</v>
      </c>
      <c r="L343" t="s">
        <v>771</v>
      </c>
    </row>
    <row r="344" spans="1:12" x14ac:dyDescent="0.35">
      <c r="A344" t="s">
        <v>772</v>
      </c>
      <c r="B344">
        <v>45950</v>
      </c>
      <c r="C344" t="s">
        <v>92</v>
      </c>
      <c r="D344" t="s">
        <v>36</v>
      </c>
      <c r="E344" t="s">
        <v>109</v>
      </c>
      <c r="F344">
        <v>75463</v>
      </c>
      <c r="G344" t="s">
        <v>23</v>
      </c>
      <c r="H344" t="s">
        <v>17</v>
      </c>
      <c r="I344">
        <v>80432</v>
      </c>
      <c r="J344">
        <v>4969</v>
      </c>
      <c r="K344" t="s">
        <v>86</v>
      </c>
      <c r="L344" t="s">
        <v>773</v>
      </c>
    </row>
    <row r="345" spans="1:12" x14ac:dyDescent="0.35">
      <c r="A345" t="s">
        <v>774</v>
      </c>
      <c r="B345">
        <v>45958</v>
      </c>
      <c r="C345" t="s">
        <v>114</v>
      </c>
      <c r="D345" t="s">
        <v>14</v>
      </c>
      <c r="E345" t="s">
        <v>284</v>
      </c>
      <c r="F345">
        <v>39404</v>
      </c>
      <c r="G345" t="s">
        <v>51</v>
      </c>
      <c r="H345" t="s">
        <v>17</v>
      </c>
      <c r="I345">
        <v>45105</v>
      </c>
      <c r="J345">
        <v>5701</v>
      </c>
      <c r="K345" t="s">
        <v>116</v>
      </c>
      <c r="L345" t="s">
        <v>775</v>
      </c>
    </row>
    <row r="346" spans="1:12" x14ac:dyDescent="0.35">
      <c r="A346" t="s">
        <v>776</v>
      </c>
      <c r="B346">
        <v>45950</v>
      </c>
      <c r="C346" t="s">
        <v>114</v>
      </c>
      <c r="D346" t="s">
        <v>54</v>
      </c>
      <c r="E346" t="s">
        <v>196</v>
      </c>
      <c r="F346">
        <v>13308</v>
      </c>
      <c r="G346" t="s">
        <v>16</v>
      </c>
      <c r="H346" t="s">
        <v>17</v>
      </c>
      <c r="I346">
        <v>14757</v>
      </c>
      <c r="J346">
        <v>1449</v>
      </c>
      <c r="K346" t="s">
        <v>33</v>
      </c>
      <c r="L346" t="s">
        <v>777</v>
      </c>
    </row>
    <row r="347" spans="1:12" x14ac:dyDescent="0.35">
      <c r="A347" t="s">
        <v>778</v>
      </c>
      <c r="B347">
        <v>45951</v>
      </c>
      <c r="C347" t="s">
        <v>114</v>
      </c>
      <c r="D347" t="s">
        <v>14</v>
      </c>
      <c r="E347" t="s">
        <v>284</v>
      </c>
      <c r="F347">
        <v>45531</v>
      </c>
      <c r="G347" t="s">
        <v>16</v>
      </c>
      <c r="H347" t="s">
        <v>43</v>
      </c>
      <c r="I347">
        <v>65673</v>
      </c>
      <c r="J347">
        <v>20142</v>
      </c>
      <c r="K347" t="s">
        <v>116</v>
      </c>
      <c r="L347" t="s">
        <v>779</v>
      </c>
    </row>
    <row r="348" spans="1:12" x14ac:dyDescent="0.35">
      <c r="A348" t="s">
        <v>780</v>
      </c>
      <c r="B348">
        <v>45946</v>
      </c>
      <c r="C348" t="s">
        <v>114</v>
      </c>
      <c r="D348" t="s">
        <v>36</v>
      </c>
      <c r="E348" t="s">
        <v>129</v>
      </c>
      <c r="F348">
        <v>34504</v>
      </c>
      <c r="G348" t="s">
        <v>38</v>
      </c>
      <c r="H348" t="s">
        <v>17</v>
      </c>
      <c r="I348">
        <v>49324</v>
      </c>
      <c r="J348">
        <v>14820</v>
      </c>
      <c r="K348" t="s">
        <v>69</v>
      </c>
      <c r="L348" t="s">
        <v>781</v>
      </c>
    </row>
    <row r="349" spans="1:12" x14ac:dyDescent="0.35">
      <c r="A349" t="s">
        <v>782</v>
      </c>
      <c r="B349">
        <v>45988</v>
      </c>
      <c r="C349" t="s">
        <v>13</v>
      </c>
      <c r="D349" t="s">
        <v>36</v>
      </c>
      <c r="E349" t="s">
        <v>139</v>
      </c>
      <c r="F349">
        <v>42802</v>
      </c>
      <c r="G349" t="s">
        <v>16</v>
      </c>
      <c r="H349" t="s">
        <v>17</v>
      </c>
      <c r="I349">
        <v>42873</v>
      </c>
      <c r="J349">
        <v>71</v>
      </c>
      <c r="K349" t="s">
        <v>39</v>
      </c>
      <c r="L349" t="s">
        <v>783</v>
      </c>
    </row>
    <row r="350" spans="1:12" x14ac:dyDescent="0.35">
      <c r="A350" t="s">
        <v>784</v>
      </c>
      <c r="B350">
        <v>45975</v>
      </c>
      <c r="C350" t="s">
        <v>13</v>
      </c>
      <c r="D350" t="s">
        <v>14</v>
      </c>
      <c r="E350" t="s">
        <v>15</v>
      </c>
      <c r="F350">
        <v>27123</v>
      </c>
      <c r="G350" t="s">
        <v>38</v>
      </c>
      <c r="H350" t="s">
        <v>17</v>
      </c>
      <c r="I350">
        <v>34991</v>
      </c>
      <c r="J350">
        <v>7868</v>
      </c>
      <c r="K350" t="s">
        <v>18</v>
      </c>
      <c r="L350" t="s">
        <v>785</v>
      </c>
    </row>
    <row r="351" spans="1:12" x14ac:dyDescent="0.35">
      <c r="A351" t="s">
        <v>786</v>
      </c>
      <c r="B351">
        <v>45981</v>
      </c>
      <c r="C351" t="s">
        <v>13</v>
      </c>
      <c r="D351" t="s">
        <v>58</v>
      </c>
      <c r="E351" t="s">
        <v>287</v>
      </c>
      <c r="F351">
        <v>34385</v>
      </c>
      <c r="G351" t="s">
        <v>23</v>
      </c>
      <c r="H351" t="s">
        <v>43</v>
      </c>
      <c r="I351">
        <v>36767</v>
      </c>
      <c r="J351">
        <v>2382</v>
      </c>
      <c r="K351" t="s">
        <v>28</v>
      </c>
      <c r="L351" t="s">
        <v>787</v>
      </c>
    </row>
    <row r="352" spans="1:12" x14ac:dyDescent="0.35">
      <c r="A352" t="s">
        <v>788</v>
      </c>
      <c r="B352">
        <v>45967</v>
      </c>
      <c r="C352" t="s">
        <v>13</v>
      </c>
      <c r="D352" t="s">
        <v>58</v>
      </c>
      <c r="E352" t="s">
        <v>287</v>
      </c>
      <c r="F352">
        <v>47601</v>
      </c>
      <c r="G352" t="s">
        <v>38</v>
      </c>
      <c r="H352" t="s">
        <v>17</v>
      </c>
      <c r="I352">
        <v>62115</v>
      </c>
      <c r="J352">
        <v>14514</v>
      </c>
      <c r="K352" t="s">
        <v>33</v>
      </c>
      <c r="L352" t="s">
        <v>789</v>
      </c>
    </row>
    <row r="353" spans="1:12" x14ac:dyDescent="0.35">
      <c r="A353" t="s">
        <v>790</v>
      </c>
      <c r="B353">
        <v>45968</v>
      </c>
      <c r="C353" t="s">
        <v>21</v>
      </c>
      <c r="D353" t="s">
        <v>36</v>
      </c>
      <c r="E353" t="s">
        <v>37</v>
      </c>
      <c r="F353">
        <v>77359</v>
      </c>
      <c r="G353" t="s">
        <v>51</v>
      </c>
      <c r="H353" t="s">
        <v>17</v>
      </c>
      <c r="I353">
        <v>97137</v>
      </c>
      <c r="J353">
        <v>19778</v>
      </c>
      <c r="K353" t="s">
        <v>33</v>
      </c>
      <c r="L353" t="s">
        <v>791</v>
      </c>
    </row>
    <row r="354" spans="1:12" x14ac:dyDescent="0.35">
      <c r="A354" t="s">
        <v>792</v>
      </c>
      <c r="B354">
        <v>45968</v>
      </c>
      <c r="C354" t="s">
        <v>21</v>
      </c>
      <c r="D354" t="s">
        <v>21</v>
      </c>
      <c r="E354" t="s">
        <v>513</v>
      </c>
      <c r="F354">
        <v>133776</v>
      </c>
      <c r="G354" t="s">
        <v>16</v>
      </c>
      <c r="H354" t="s">
        <v>17</v>
      </c>
      <c r="I354">
        <v>196459</v>
      </c>
      <c r="J354">
        <v>62683</v>
      </c>
      <c r="K354" t="s">
        <v>66</v>
      </c>
      <c r="L354" t="s">
        <v>793</v>
      </c>
    </row>
    <row r="355" spans="1:12" x14ac:dyDescent="0.35">
      <c r="A355" t="s">
        <v>794</v>
      </c>
      <c r="B355">
        <v>45976</v>
      </c>
      <c r="C355" t="s">
        <v>21</v>
      </c>
      <c r="D355" t="s">
        <v>58</v>
      </c>
      <c r="E355" t="s">
        <v>301</v>
      </c>
      <c r="F355">
        <v>32132</v>
      </c>
      <c r="G355" t="s">
        <v>51</v>
      </c>
      <c r="H355" t="s">
        <v>43</v>
      </c>
      <c r="I355">
        <v>41412</v>
      </c>
      <c r="J355">
        <v>9280</v>
      </c>
      <c r="K355" t="s">
        <v>69</v>
      </c>
      <c r="L355" t="s">
        <v>795</v>
      </c>
    </row>
    <row r="356" spans="1:12" x14ac:dyDescent="0.35">
      <c r="A356" t="s">
        <v>796</v>
      </c>
      <c r="B356">
        <v>45965</v>
      </c>
      <c r="C356" t="s">
        <v>21</v>
      </c>
      <c r="D356" t="s">
        <v>21</v>
      </c>
      <c r="E356" t="s">
        <v>513</v>
      </c>
      <c r="F356">
        <v>130954</v>
      </c>
      <c r="G356" t="s">
        <v>16</v>
      </c>
      <c r="H356" t="s">
        <v>17</v>
      </c>
      <c r="I356">
        <v>163707</v>
      </c>
      <c r="J356">
        <v>32753</v>
      </c>
      <c r="K356" t="s">
        <v>18</v>
      </c>
      <c r="L356" t="s">
        <v>797</v>
      </c>
    </row>
    <row r="357" spans="1:12" x14ac:dyDescent="0.35">
      <c r="A357" t="s">
        <v>798</v>
      </c>
      <c r="B357">
        <v>45983</v>
      </c>
      <c r="C357" t="s">
        <v>21</v>
      </c>
      <c r="D357" t="s">
        <v>14</v>
      </c>
      <c r="E357" t="s">
        <v>42</v>
      </c>
      <c r="F357">
        <v>2451</v>
      </c>
      <c r="G357" t="s">
        <v>38</v>
      </c>
      <c r="H357" t="s">
        <v>43</v>
      </c>
      <c r="I357">
        <v>3368</v>
      </c>
      <c r="J357">
        <v>917</v>
      </c>
      <c r="K357" t="s">
        <v>69</v>
      </c>
      <c r="L357" t="s">
        <v>799</v>
      </c>
    </row>
    <row r="358" spans="1:12" x14ac:dyDescent="0.35">
      <c r="A358" t="s">
        <v>800</v>
      </c>
      <c r="B358">
        <v>45984</v>
      </c>
      <c r="C358" t="s">
        <v>21</v>
      </c>
      <c r="D358" t="s">
        <v>14</v>
      </c>
      <c r="E358" t="s">
        <v>42</v>
      </c>
      <c r="F358">
        <v>29334</v>
      </c>
      <c r="G358" t="s">
        <v>23</v>
      </c>
      <c r="H358" t="s">
        <v>43</v>
      </c>
      <c r="I358">
        <v>43379</v>
      </c>
      <c r="J358">
        <v>14045</v>
      </c>
      <c r="K358" t="s">
        <v>116</v>
      </c>
      <c r="L358" t="s">
        <v>801</v>
      </c>
    </row>
    <row r="359" spans="1:12" x14ac:dyDescent="0.35">
      <c r="A359" t="s">
        <v>802</v>
      </c>
      <c r="B359">
        <v>45963</v>
      </c>
      <c r="C359" t="s">
        <v>21</v>
      </c>
      <c r="D359" t="s">
        <v>31</v>
      </c>
      <c r="E359" t="s">
        <v>32</v>
      </c>
      <c r="F359">
        <v>136040</v>
      </c>
      <c r="G359" t="s">
        <v>16</v>
      </c>
      <c r="H359" t="s">
        <v>17</v>
      </c>
      <c r="I359">
        <v>192344</v>
      </c>
      <c r="J359">
        <v>56304</v>
      </c>
      <c r="K359" t="s">
        <v>80</v>
      </c>
      <c r="L359" t="s">
        <v>803</v>
      </c>
    </row>
    <row r="360" spans="1:12" x14ac:dyDescent="0.35">
      <c r="A360" t="s">
        <v>804</v>
      </c>
      <c r="B360">
        <v>45982</v>
      </c>
      <c r="C360" t="s">
        <v>21</v>
      </c>
      <c r="D360" t="s">
        <v>36</v>
      </c>
      <c r="E360" t="s">
        <v>37</v>
      </c>
      <c r="F360">
        <v>98929</v>
      </c>
      <c r="G360" t="s">
        <v>38</v>
      </c>
      <c r="H360" t="s">
        <v>17</v>
      </c>
      <c r="I360">
        <v>144802</v>
      </c>
      <c r="J360">
        <v>45873</v>
      </c>
      <c r="K360" t="s">
        <v>62</v>
      </c>
      <c r="L360" t="s">
        <v>805</v>
      </c>
    </row>
    <row r="361" spans="1:12" x14ac:dyDescent="0.35">
      <c r="A361" t="s">
        <v>806</v>
      </c>
      <c r="B361">
        <v>45986</v>
      </c>
      <c r="C361" t="s">
        <v>46</v>
      </c>
      <c r="D361" t="s">
        <v>132</v>
      </c>
      <c r="E361" t="s">
        <v>174</v>
      </c>
      <c r="F361">
        <v>27836</v>
      </c>
      <c r="G361" t="s">
        <v>23</v>
      </c>
      <c r="H361" t="s">
        <v>17</v>
      </c>
      <c r="I361">
        <v>39322</v>
      </c>
      <c r="J361">
        <v>11486</v>
      </c>
      <c r="K361" t="s">
        <v>33</v>
      </c>
      <c r="L361" t="s">
        <v>807</v>
      </c>
    </row>
    <row r="362" spans="1:12" x14ac:dyDescent="0.35">
      <c r="A362" t="s">
        <v>808</v>
      </c>
      <c r="B362">
        <v>45987</v>
      </c>
      <c r="C362" t="s">
        <v>46</v>
      </c>
      <c r="D362" t="s">
        <v>54</v>
      </c>
      <c r="E362" t="s">
        <v>55</v>
      </c>
      <c r="F362">
        <v>3325</v>
      </c>
      <c r="G362" t="s">
        <v>38</v>
      </c>
      <c r="H362" t="s">
        <v>17</v>
      </c>
      <c r="I362">
        <v>4843</v>
      </c>
      <c r="J362">
        <v>1518</v>
      </c>
      <c r="K362" t="s">
        <v>66</v>
      </c>
      <c r="L362" t="s">
        <v>809</v>
      </c>
    </row>
    <row r="363" spans="1:12" x14ac:dyDescent="0.35">
      <c r="A363" t="s">
        <v>810</v>
      </c>
      <c r="B363">
        <v>45976</v>
      </c>
      <c r="C363" t="s">
        <v>46</v>
      </c>
      <c r="D363" t="s">
        <v>54</v>
      </c>
      <c r="E363" t="s">
        <v>55</v>
      </c>
      <c r="F363">
        <v>11519</v>
      </c>
      <c r="G363" t="s">
        <v>38</v>
      </c>
      <c r="H363" t="s">
        <v>17</v>
      </c>
      <c r="I363">
        <v>15514</v>
      </c>
      <c r="J363">
        <v>3995</v>
      </c>
      <c r="K363" t="s">
        <v>66</v>
      </c>
      <c r="L363" t="s">
        <v>811</v>
      </c>
    </row>
    <row r="364" spans="1:12" x14ac:dyDescent="0.35">
      <c r="A364" t="s">
        <v>812</v>
      </c>
      <c r="B364">
        <v>45987</v>
      </c>
      <c r="C364" t="s">
        <v>46</v>
      </c>
      <c r="D364" t="s">
        <v>132</v>
      </c>
      <c r="E364" t="s">
        <v>174</v>
      </c>
      <c r="F364">
        <v>25583</v>
      </c>
      <c r="G364" t="s">
        <v>38</v>
      </c>
      <c r="H364" t="s">
        <v>17</v>
      </c>
      <c r="I364">
        <v>31271</v>
      </c>
      <c r="J364">
        <v>5688</v>
      </c>
      <c r="K364" t="s">
        <v>28</v>
      </c>
      <c r="L364" t="s">
        <v>813</v>
      </c>
    </row>
    <row r="365" spans="1:12" x14ac:dyDescent="0.35">
      <c r="A365" t="s">
        <v>814</v>
      </c>
      <c r="B365">
        <v>45971</v>
      </c>
      <c r="C365" t="s">
        <v>72</v>
      </c>
      <c r="D365" t="s">
        <v>58</v>
      </c>
      <c r="E365" t="s">
        <v>83</v>
      </c>
      <c r="F365">
        <v>23352</v>
      </c>
      <c r="G365" t="s">
        <v>23</v>
      </c>
      <c r="H365" t="s">
        <v>17</v>
      </c>
      <c r="I365">
        <v>25080</v>
      </c>
      <c r="J365">
        <v>1728</v>
      </c>
      <c r="K365" t="s">
        <v>33</v>
      </c>
      <c r="L365" t="s">
        <v>815</v>
      </c>
    </row>
    <row r="366" spans="1:12" x14ac:dyDescent="0.35">
      <c r="A366" t="s">
        <v>816</v>
      </c>
      <c r="B366">
        <v>45984</v>
      </c>
      <c r="C366" t="s">
        <v>72</v>
      </c>
      <c r="D366" t="s">
        <v>54</v>
      </c>
      <c r="E366" t="s">
        <v>79</v>
      </c>
      <c r="F366">
        <v>12694</v>
      </c>
      <c r="G366" t="s">
        <v>51</v>
      </c>
      <c r="H366" t="s">
        <v>43</v>
      </c>
      <c r="I366">
        <v>14542</v>
      </c>
      <c r="J366">
        <v>1848</v>
      </c>
      <c r="K366" t="s">
        <v>66</v>
      </c>
      <c r="L366" t="s">
        <v>817</v>
      </c>
    </row>
    <row r="367" spans="1:12" x14ac:dyDescent="0.35">
      <c r="A367" t="s">
        <v>818</v>
      </c>
      <c r="B367">
        <v>45985</v>
      </c>
      <c r="C367" t="s">
        <v>72</v>
      </c>
      <c r="D367" t="s">
        <v>31</v>
      </c>
      <c r="E367" t="s">
        <v>177</v>
      </c>
      <c r="F367">
        <v>186495</v>
      </c>
      <c r="G367" t="s">
        <v>51</v>
      </c>
      <c r="H367" t="s">
        <v>17</v>
      </c>
      <c r="I367">
        <v>213992</v>
      </c>
      <c r="J367">
        <v>27497</v>
      </c>
      <c r="K367" t="s">
        <v>28</v>
      </c>
      <c r="L367" t="s">
        <v>819</v>
      </c>
    </row>
    <row r="368" spans="1:12" x14ac:dyDescent="0.35">
      <c r="A368" t="s">
        <v>820</v>
      </c>
      <c r="B368">
        <v>45962</v>
      </c>
      <c r="C368" t="s">
        <v>72</v>
      </c>
      <c r="D368" t="s">
        <v>36</v>
      </c>
      <c r="E368" t="s">
        <v>76</v>
      </c>
      <c r="F368">
        <v>38725</v>
      </c>
      <c r="G368" t="s">
        <v>51</v>
      </c>
      <c r="H368" t="s">
        <v>43</v>
      </c>
      <c r="I368">
        <v>51054</v>
      </c>
      <c r="J368">
        <v>12329</v>
      </c>
      <c r="K368" t="s">
        <v>66</v>
      </c>
      <c r="L368" t="s">
        <v>821</v>
      </c>
    </row>
    <row r="369" spans="1:12" x14ac:dyDescent="0.35">
      <c r="A369" t="s">
        <v>822</v>
      </c>
      <c r="B369">
        <v>45978</v>
      </c>
      <c r="C369" t="s">
        <v>72</v>
      </c>
      <c r="D369" t="s">
        <v>58</v>
      </c>
      <c r="E369" t="s">
        <v>83</v>
      </c>
      <c r="F369">
        <v>39002</v>
      </c>
      <c r="G369" t="s">
        <v>38</v>
      </c>
      <c r="H369" t="s">
        <v>17</v>
      </c>
      <c r="I369">
        <v>46104</v>
      </c>
      <c r="J369">
        <v>7102</v>
      </c>
      <c r="K369" t="s">
        <v>28</v>
      </c>
      <c r="L369" t="s">
        <v>823</v>
      </c>
    </row>
    <row r="370" spans="1:12" x14ac:dyDescent="0.35">
      <c r="A370" t="s">
        <v>824</v>
      </c>
      <c r="B370">
        <v>45989</v>
      </c>
      <c r="C370" t="s">
        <v>72</v>
      </c>
      <c r="D370" t="s">
        <v>54</v>
      </c>
      <c r="E370" t="s">
        <v>79</v>
      </c>
      <c r="F370">
        <v>11548</v>
      </c>
      <c r="G370" t="s">
        <v>16</v>
      </c>
      <c r="H370" t="s">
        <v>43</v>
      </c>
      <c r="I370">
        <v>12448</v>
      </c>
      <c r="J370">
        <v>900</v>
      </c>
      <c r="K370" t="s">
        <v>33</v>
      </c>
      <c r="L370" t="s">
        <v>825</v>
      </c>
    </row>
    <row r="371" spans="1:12" x14ac:dyDescent="0.35">
      <c r="A371" t="s">
        <v>826</v>
      </c>
      <c r="B371">
        <v>45978</v>
      </c>
      <c r="C371" t="s">
        <v>72</v>
      </c>
      <c r="D371" t="s">
        <v>31</v>
      </c>
      <c r="E371" t="s">
        <v>177</v>
      </c>
      <c r="F371">
        <v>179968</v>
      </c>
      <c r="G371" t="s">
        <v>38</v>
      </c>
      <c r="H371" t="s">
        <v>17</v>
      </c>
      <c r="I371">
        <v>195186</v>
      </c>
      <c r="J371">
        <v>15218</v>
      </c>
      <c r="K371" t="s">
        <v>69</v>
      </c>
      <c r="L371" t="s">
        <v>827</v>
      </c>
    </row>
    <row r="372" spans="1:12" x14ac:dyDescent="0.35">
      <c r="A372" t="s">
        <v>828</v>
      </c>
      <c r="B372">
        <v>45968</v>
      </c>
      <c r="C372" t="s">
        <v>92</v>
      </c>
      <c r="D372" t="s">
        <v>14</v>
      </c>
      <c r="E372" t="s">
        <v>93</v>
      </c>
      <c r="F372">
        <v>24437</v>
      </c>
      <c r="G372" t="s">
        <v>51</v>
      </c>
      <c r="H372" t="s">
        <v>17</v>
      </c>
      <c r="I372">
        <v>27184</v>
      </c>
      <c r="J372">
        <v>2747</v>
      </c>
      <c r="K372" t="s">
        <v>66</v>
      </c>
      <c r="L372" t="s">
        <v>829</v>
      </c>
    </row>
    <row r="373" spans="1:12" x14ac:dyDescent="0.35">
      <c r="A373" t="s">
        <v>830</v>
      </c>
      <c r="B373">
        <v>45977</v>
      </c>
      <c r="C373" t="s">
        <v>92</v>
      </c>
      <c r="D373" t="s">
        <v>14</v>
      </c>
      <c r="E373" t="s">
        <v>93</v>
      </c>
      <c r="F373">
        <v>44598</v>
      </c>
      <c r="G373" t="s">
        <v>38</v>
      </c>
      <c r="H373" t="s">
        <v>43</v>
      </c>
      <c r="I373">
        <v>48990</v>
      </c>
      <c r="J373">
        <v>4392</v>
      </c>
      <c r="K373" t="s">
        <v>80</v>
      </c>
      <c r="L373" t="s">
        <v>831</v>
      </c>
    </row>
    <row r="374" spans="1:12" x14ac:dyDescent="0.35">
      <c r="A374" t="s">
        <v>832</v>
      </c>
      <c r="B374">
        <v>45983</v>
      </c>
      <c r="C374" t="s">
        <v>92</v>
      </c>
      <c r="D374" t="s">
        <v>26</v>
      </c>
      <c r="E374" t="s">
        <v>191</v>
      </c>
      <c r="F374">
        <v>6573</v>
      </c>
      <c r="G374" t="s">
        <v>23</v>
      </c>
      <c r="H374" t="s">
        <v>17</v>
      </c>
      <c r="I374">
        <v>7239</v>
      </c>
      <c r="J374">
        <v>666</v>
      </c>
      <c r="K374" t="s">
        <v>62</v>
      </c>
      <c r="L374" t="s">
        <v>833</v>
      </c>
    </row>
    <row r="375" spans="1:12" x14ac:dyDescent="0.35">
      <c r="A375" t="s">
        <v>834</v>
      </c>
      <c r="B375">
        <v>45979</v>
      </c>
      <c r="C375" t="s">
        <v>114</v>
      </c>
      <c r="D375" t="s">
        <v>14</v>
      </c>
      <c r="E375" t="s">
        <v>284</v>
      </c>
      <c r="F375">
        <v>19791</v>
      </c>
      <c r="G375" t="s">
        <v>23</v>
      </c>
      <c r="H375" t="s">
        <v>17</v>
      </c>
      <c r="I375">
        <v>25266</v>
      </c>
      <c r="J375">
        <v>5475</v>
      </c>
      <c r="K375" t="s">
        <v>69</v>
      </c>
      <c r="L375" t="s">
        <v>835</v>
      </c>
    </row>
    <row r="376" spans="1:12" x14ac:dyDescent="0.35">
      <c r="A376" t="s">
        <v>836</v>
      </c>
      <c r="B376">
        <v>45985</v>
      </c>
      <c r="C376" t="s">
        <v>114</v>
      </c>
      <c r="D376" t="s">
        <v>26</v>
      </c>
      <c r="E376" t="s">
        <v>119</v>
      </c>
      <c r="F376">
        <v>2504</v>
      </c>
      <c r="G376" t="s">
        <v>51</v>
      </c>
      <c r="H376" t="s">
        <v>17</v>
      </c>
      <c r="I376">
        <v>2825</v>
      </c>
      <c r="J376">
        <v>321</v>
      </c>
      <c r="K376" t="s">
        <v>18</v>
      </c>
      <c r="L376" t="s">
        <v>837</v>
      </c>
    </row>
    <row r="377" spans="1:12" x14ac:dyDescent="0.35">
      <c r="A377" t="s">
        <v>838</v>
      </c>
      <c r="B377">
        <v>45970</v>
      </c>
      <c r="C377" t="s">
        <v>114</v>
      </c>
      <c r="D377" t="s">
        <v>21</v>
      </c>
      <c r="E377" t="s">
        <v>115</v>
      </c>
      <c r="F377">
        <v>20546</v>
      </c>
      <c r="G377" t="s">
        <v>16</v>
      </c>
      <c r="H377" t="s">
        <v>17</v>
      </c>
      <c r="I377">
        <v>30607</v>
      </c>
      <c r="J377">
        <v>10061</v>
      </c>
      <c r="K377" t="s">
        <v>18</v>
      </c>
      <c r="L377" t="s">
        <v>839</v>
      </c>
    </row>
    <row r="378" spans="1:12" x14ac:dyDescent="0.35">
      <c r="A378" t="s">
        <v>840</v>
      </c>
      <c r="B378">
        <v>45968</v>
      </c>
      <c r="C378" t="s">
        <v>114</v>
      </c>
      <c r="D378" t="s">
        <v>21</v>
      </c>
      <c r="E378" t="s">
        <v>115</v>
      </c>
      <c r="F378">
        <v>146985</v>
      </c>
      <c r="G378" t="s">
        <v>51</v>
      </c>
      <c r="H378" t="s">
        <v>17</v>
      </c>
      <c r="I378">
        <v>169236</v>
      </c>
      <c r="J378">
        <v>22251</v>
      </c>
      <c r="K378" t="s">
        <v>28</v>
      </c>
      <c r="L378" t="s">
        <v>841</v>
      </c>
    </row>
    <row r="379" spans="1:12" x14ac:dyDescent="0.35">
      <c r="A379" t="s">
        <v>842</v>
      </c>
      <c r="B379">
        <v>45987</v>
      </c>
      <c r="C379" t="s">
        <v>114</v>
      </c>
      <c r="D379" t="s">
        <v>31</v>
      </c>
      <c r="E379" t="s">
        <v>281</v>
      </c>
      <c r="F379">
        <v>131705</v>
      </c>
      <c r="G379" t="s">
        <v>23</v>
      </c>
      <c r="H379" t="s">
        <v>17</v>
      </c>
      <c r="I379">
        <v>138176</v>
      </c>
      <c r="J379">
        <v>6471</v>
      </c>
      <c r="K379" t="s">
        <v>62</v>
      </c>
      <c r="L379" t="s">
        <v>843</v>
      </c>
    </row>
    <row r="380" spans="1:12" x14ac:dyDescent="0.35">
      <c r="A380" t="s">
        <v>844</v>
      </c>
      <c r="B380">
        <v>45977</v>
      </c>
      <c r="C380" t="s">
        <v>114</v>
      </c>
      <c r="D380" t="s">
        <v>31</v>
      </c>
      <c r="E380" t="s">
        <v>281</v>
      </c>
      <c r="F380">
        <v>40515</v>
      </c>
      <c r="G380" t="s">
        <v>51</v>
      </c>
      <c r="H380" t="s">
        <v>17</v>
      </c>
      <c r="I380">
        <v>49467</v>
      </c>
      <c r="J380">
        <v>8952</v>
      </c>
      <c r="K380" t="s">
        <v>116</v>
      </c>
      <c r="L380" t="s">
        <v>845</v>
      </c>
    </row>
    <row r="381" spans="1:12" x14ac:dyDescent="0.35">
      <c r="A381" t="s">
        <v>846</v>
      </c>
      <c r="B381">
        <v>45980</v>
      </c>
      <c r="C381" t="s">
        <v>114</v>
      </c>
      <c r="D381" t="s">
        <v>26</v>
      </c>
      <c r="E381" t="s">
        <v>119</v>
      </c>
      <c r="F381">
        <v>5401</v>
      </c>
      <c r="G381" t="s">
        <v>23</v>
      </c>
      <c r="H381" t="s">
        <v>43</v>
      </c>
      <c r="I381">
        <v>6717</v>
      </c>
      <c r="J381">
        <v>1316</v>
      </c>
      <c r="K381" t="s">
        <v>86</v>
      </c>
      <c r="L381" t="s">
        <v>847</v>
      </c>
    </row>
    <row r="382" spans="1:12" x14ac:dyDescent="0.35">
      <c r="A382" t="s">
        <v>848</v>
      </c>
      <c r="B382">
        <v>46017</v>
      </c>
      <c r="C382" t="s">
        <v>13</v>
      </c>
      <c r="D382" t="s">
        <v>31</v>
      </c>
      <c r="E382" t="s">
        <v>290</v>
      </c>
      <c r="F382">
        <v>178460</v>
      </c>
      <c r="G382" t="s">
        <v>38</v>
      </c>
      <c r="H382" t="s">
        <v>17</v>
      </c>
      <c r="I382">
        <v>195842</v>
      </c>
      <c r="J382">
        <v>17382</v>
      </c>
      <c r="K382" t="s">
        <v>66</v>
      </c>
      <c r="L382" t="s">
        <v>849</v>
      </c>
    </row>
    <row r="383" spans="1:12" x14ac:dyDescent="0.35">
      <c r="A383" t="s">
        <v>850</v>
      </c>
      <c r="B383">
        <v>46002</v>
      </c>
      <c r="C383" t="s">
        <v>13</v>
      </c>
      <c r="D383" t="s">
        <v>132</v>
      </c>
      <c r="E383" t="s">
        <v>142</v>
      </c>
      <c r="F383">
        <v>19141</v>
      </c>
      <c r="G383" t="s">
        <v>38</v>
      </c>
      <c r="H383" t="s">
        <v>43</v>
      </c>
      <c r="I383">
        <v>25181</v>
      </c>
      <c r="J383">
        <v>6040</v>
      </c>
      <c r="K383" t="s">
        <v>66</v>
      </c>
      <c r="L383" t="s">
        <v>851</v>
      </c>
    </row>
    <row r="384" spans="1:12" x14ac:dyDescent="0.35">
      <c r="A384" t="s">
        <v>852</v>
      </c>
      <c r="B384">
        <v>45999</v>
      </c>
      <c r="C384" t="s">
        <v>13</v>
      </c>
      <c r="D384" t="s">
        <v>132</v>
      </c>
      <c r="E384" t="s">
        <v>142</v>
      </c>
      <c r="F384">
        <v>11657</v>
      </c>
      <c r="G384" t="s">
        <v>16</v>
      </c>
      <c r="H384" t="s">
        <v>17</v>
      </c>
      <c r="I384">
        <v>16712</v>
      </c>
      <c r="J384">
        <v>5055</v>
      </c>
      <c r="K384" t="s">
        <v>116</v>
      </c>
      <c r="L384" t="s">
        <v>853</v>
      </c>
    </row>
    <row r="385" spans="1:12" x14ac:dyDescent="0.35">
      <c r="A385" t="s">
        <v>854</v>
      </c>
      <c r="B385">
        <v>46016</v>
      </c>
      <c r="C385" t="s">
        <v>13</v>
      </c>
      <c r="D385" t="s">
        <v>132</v>
      </c>
      <c r="E385" t="s">
        <v>142</v>
      </c>
      <c r="F385">
        <v>23510</v>
      </c>
      <c r="G385" t="s">
        <v>51</v>
      </c>
      <c r="H385" t="s">
        <v>17</v>
      </c>
      <c r="I385">
        <v>28683</v>
      </c>
      <c r="J385">
        <v>5173</v>
      </c>
      <c r="K385" t="s">
        <v>80</v>
      </c>
      <c r="L385" t="s">
        <v>855</v>
      </c>
    </row>
    <row r="386" spans="1:12" x14ac:dyDescent="0.35">
      <c r="A386" t="s">
        <v>856</v>
      </c>
      <c r="B386">
        <v>45994</v>
      </c>
      <c r="C386" t="s">
        <v>13</v>
      </c>
      <c r="D386" t="s">
        <v>31</v>
      </c>
      <c r="E386" t="s">
        <v>290</v>
      </c>
      <c r="F386">
        <v>139967</v>
      </c>
      <c r="G386" t="s">
        <v>38</v>
      </c>
      <c r="H386" t="s">
        <v>17</v>
      </c>
      <c r="I386">
        <v>151383</v>
      </c>
      <c r="J386">
        <v>11416</v>
      </c>
      <c r="K386" t="s">
        <v>62</v>
      </c>
      <c r="L386" t="s">
        <v>857</v>
      </c>
    </row>
    <row r="387" spans="1:12" x14ac:dyDescent="0.35">
      <c r="A387" t="s">
        <v>858</v>
      </c>
      <c r="B387">
        <v>46018</v>
      </c>
      <c r="C387" t="s">
        <v>13</v>
      </c>
      <c r="D387" t="s">
        <v>54</v>
      </c>
      <c r="E387" t="s">
        <v>136</v>
      </c>
      <c r="F387">
        <v>11451</v>
      </c>
      <c r="G387" t="s">
        <v>51</v>
      </c>
      <c r="H387" t="s">
        <v>17</v>
      </c>
      <c r="I387">
        <v>15384</v>
      </c>
      <c r="J387">
        <v>3933</v>
      </c>
      <c r="K387" t="s">
        <v>62</v>
      </c>
      <c r="L387" t="s">
        <v>859</v>
      </c>
    </row>
    <row r="388" spans="1:12" x14ac:dyDescent="0.35">
      <c r="A388" t="s">
        <v>860</v>
      </c>
      <c r="B388">
        <v>46002</v>
      </c>
      <c r="C388" t="s">
        <v>13</v>
      </c>
      <c r="D388" t="s">
        <v>26</v>
      </c>
      <c r="E388" t="s">
        <v>27</v>
      </c>
      <c r="F388">
        <v>3016</v>
      </c>
      <c r="G388" t="s">
        <v>38</v>
      </c>
      <c r="H388" t="s">
        <v>17</v>
      </c>
      <c r="I388">
        <v>3773</v>
      </c>
      <c r="J388">
        <v>757</v>
      </c>
      <c r="K388" t="s">
        <v>66</v>
      </c>
      <c r="L388" t="s">
        <v>861</v>
      </c>
    </row>
    <row r="389" spans="1:12" x14ac:dyDescent="0.35">
      <c r="A389" t="s">
        <v>862</v>
      </c>
      <c r="B389">
        <v>46002</v>
      </c>
      <c r="C389" t="s">
        <v>13</v>
      </c>
      <c r="D389" t="s">
        <v>26</v>
      </c>
      <c r="E389" t="s">
        <v>27</v>
      </c>
      <c r="F389">
        <v>5177</v>
      </c>
      <c r="G389" t="s">
        <v>51</v>
      </c>
      <c r="H389" t="s">
        <v>17</v>
      </c>
      <c r="I389">
        <v>6916</v>
      </c>
      <c r="J389">
        <v>1739</v>
      </c>
      <c r="K389" t="s">
        <v>86</v>
      </c>
      <c r="L389" t="s">
        <v>863</v>
      </c>
    </row>
    <row r="390" spans="1:12" x14ac:dyDescent="0.35">
      <c r="A390" t="s">
        <v>864</v>
      </c>
      <c r="B390">
        <v>46007</v>
      </c>
      <c r="C390" t="s">
        <v>21</v>
      </c>
      <c r="D390" t="s">
        <v>21</v>
      </c>
      <c r="E390" t="s">
        <v>513</v>
      </c>
      <c r="F390">
        <v>95375</v>
      </c>
      <c r="G390" t="s">
        <v>38</v>
      </c>
      <c r="H390" t="s">
        <v>17</v>
      </c>
      <c r="I390">
        <v>140998</v>
      </c>
      <c r="J390">
        <v>45623</v>
      </c>
      <c r="K390" t="s">
        <v>18</v>
      </c>
      <c r="L390" t="s">
        <v>865</v>
      </c>
    </row>
    <row r="391" spans="1:12" x14ac:dyDescent="0.35">
      <c r="A391" t="s">
        <v>866</v>
      </c>
      <c r="B391">
        <v>46001</v>
      </c>
      <c r="C391" t="s">
        <v>21</v>
      </c>
      <c r="D391" t="s">
        <v>31</v>
      </c>
      <c r="E391" t="s">
        <v>32</v>
      </c>
      <c r="F391">
        <v>89591</v>
      </c>
      <c r="G391" t="s">
        <v>16</v>
      </c>
      <c r="H391" t="s">
        <v>17</v>
      </c>
      <c r="I391">
        <v>106201</v>
      </c>
      <c r="J391">
        <v>16610</v>
      </c>
      <c r="K391" t="s">
        <v>33</v>
      </c>
      <c r="L391" t="s">
        <v>867</v>
      </c>
    </row>
    <row r="392" spans="1:12" x14ac:dyDescent="0.35">
      <c r="A392" t="s">
        <v>868</v>
      </c>
      <c r="B392">
        <v>46016</v>
      </c>
      <c r="C392" t="s">
        <v>21</v>
      </c>
      <c r="D392" t="s">
        <v>132</v>
      </c>
      <c r="E392" t="s">
        <v>153</v>
      </c>
      <c r="F392">
        <v>16936</v>
      </c>
      <c r="G392" t="s">
        <v>38</v>
      </c>
      <c r="H392" t="s">
        <v>17</v>
      </c>
      <c r="I392">
        <v>21706</v>
      </c>
      <c r="J392">
        <v>4770</v>
      </c>
      <c r="K392" t="s">
        <v>86</v>
      </c>
      <c r="L392" t="s">
        <v>869</v>
      </c>
    </row>
    <row r="393" spans="1:12" x14ac:dyDescent="0.35">
      <c r="A393" t="s">
        <v>870</v>
      </c>
      <c r="B393">
        <v>45996</v>
      </c>
      <c r="C393" t="s">
        <v>21</v>
      </c>
      <c r="D393" t="s">
        <v>36</v>
      </c>
      <c r="E393" t="s">
        <v>37</v>
      </c>
      <c r="F393">
        <v>51348</v>
      </c>
      <c r="G393" t="s">
        <v>38</v>
      </c>
      <c r="H393" t="s">
        <v>17</v>
      </c>
      <c r="I393">
        <v>67928</v>
      </c>
      <c r="J393">
        <v>16580</v>
      </c>
      <c r="K393" t="s">
        <v>80</v>
      </c>
      <c r="L393" t="s">
        <v>871</v>
      </c>
    </row>
    <row r="394" spans="1:12" x14ac:dyDescent="0.35">
      <c r="A394" t="s">
        <v>872</v>
      </c>
      <c r="B394">
        <v>45992</v>
      </c>
      <c r="C394" t="s">
        <v>46</v>
      </c>
      <c r="D394" t="s">
        <v>132</v>
      </c>
      <c r="E394" t="s">
        <v>174</v>
      </c>
      <c r="F394">
        <v>12659</v>
      </c>
      <c r="G394" t="s">
        <v>16</v>
      </c>
      <c r="H394" t="s">
        <v>17</v>
      </c>
      <c r="I394">
        <v>17929</v>
      </c>
      <c r="J394">
        <v>5270</v>
      </c>
      <c r="K394" t="s">
        <v>86</v>
      </c>
      <c r="L394" t="s">
        <v>873</v>
      </c>
    </row>
    <row r="395" spans="1:12" x14ac:dyDescent="0.35">
      <c r="A395" t="s">
        <v>874</v>
      </c>
      <c r="B395">
        <v>46008</v>
      </c>
      <c r="C395" t="s">
        <v>46</v>
      </c>
      <c r="D395" t="s">
        <v>26</v>
      </c>
      <c r="E395" t="s">
        <v>171</v>
      </c>
      <c r="F395">
        <v>7032</v>
      </c>
      <c r="G395" t="s">
        <v>38</v>
      </c>
      <c r="H395" t="s">
        <v>17</v>
      </c>
      <c r="I395">
        <v>7788</v>
      </c>
      <c r="J395">
        <v>756</v>
      </c>
      <c r="K395" t="s">
        <v>62</v>
      </c>
      <c r="L395" t="s">
        <v>875</v>
      </c>
    </row>
    <row r="396" spans="1:12" x14ac:dyDescent="0.35">
      <c r="A396" t="s">
        <v>876</v>
      </c>
      <c r="B396">
        <v>46007</v>
      </c>
      <c r="C396" t="s">
        <v>46</v>
      </c>
      <c r="D396" t="s">
        <v>26</v>
      </c>
      <c r="E396" t="s">
        <v>171</v>
      </c>
      <c r="F396">
        <v>1814</v>
      </c>
      <c r="G396" t="s">
        <v>38</v>
      </c>
      <c r="H396" t="s">
        <v>17</v>
      </c>
      <c r="I396">
        <v>2109</v>
      </c>
      <c r="J396">
        <v>295</v>
      </c>
      <c r="K396" t="s">
        <v>86</v>
      </c>
      <c r="L396" t="s">
        <v>877</v>
      </c>
    </row>
    <row r="397" spans="1:12" x14ac:dyDescent="0.35">
      <c r="A397" t="s">
        <v>878</v>
      </c>
      <c r="B397">
        <v>46010</v>
      </c>
      <c r="C397" t="s">
        <v>46</v>
      </c>
      <c r="D397" t="s">
        <v>26</v>
      </c>
      <c r="E397" t="s">
        <v>171</v>
      </c>
      <c r="F397">
        <v>2794</v>
      </c>
      <c r="G397" t="s">
        <v>38</v>
      </c>
      <c r="H397" t="s">
        <v>17</v>
      </c>
      <c r="I397">
        <v>4173</v>
      </c>
      <c r="J397">
        <v>1379</v>
      </c>
      <c r="K397" t="s">
        <v>62</v>
      </c>
      <c r="L397" t="s">
        <v>879</v>
      </c>
    </row>
    <row r="398" spans="1:12" x14ac:dyDescent="0.35">
      <c r="A398" t="s">
        <v>880</v>
      </c>
      <c r="B398">
        <v>46006</v>
      </c>
      <c r="C398" t="s">
        <v>72</v>
      </c>
      <c r="D398" t="s">
        <v>54</v>
      </c>
      <c r="E398" t="s">
        <v>79</v>
      </c>
      <c r="F398">
        <v>5522</v>
      </c>
      <c r="G398" t="s">
        <v>16</v>
      </c>
      <c r="H398" t="s">
        <v>17</v>
      </c>
      <c r="I398">
        <v>7007</v>
      </c>
      <c r="J398">
        <v>1485</v>
      </c>
      <c r="K398" t="s">
        <v>69</v>
      </c>
      <c r="L398" t="s">
        <v>881</v>
      </c>
    </row>
    <row r="399" spans="1:12" x14ac:dyDescent="0.35">
      <c r="A399" t="s">
        <v>882</v>
      </c>
      <c r="B399">
        <v>46015</v>
      </c>
      <c r="C399" t="s">
        <v>72</v>
      </c>
      <c r="D399" t="s">
        <v>14</v>
      </c>
      <c r="E399" t="s">
        <v>89</v>
      </c>
      <c r="F399">
        <v>23269</v>
      </c>
      <c r="G399" t="s">
        <v>38</v>
      </c>
      <c r="H399" t="s">
        <v>17</v>
      </c>
      <c r="I399">
        <v>34638</v>
      </c>
      <c r="J399">
        <v>11369</v>
      </c>
      <c r="K399" t="s">
        <v>39</v>
      </c>
      <c r="L399" t="s">
        <v>883</v>
      </c>
    </row>
    <row r="400" spans="1:12" x14ac:dyDescent="0.35">
      <c r="A400" t="s">
        <v>884</v>
      </c>
      <c r="B400">
        <v>45994</v>
      </c>
      <c r="C400" t="s">
        <v>72</v>
      </c>
      <c r="D400" t="s">
        <v>132</v>
      </c>
      <c r="E400" t="s">
        <v>247</v>
      </c>
      <c r="F400">
        <v>21811</v>
      </c>
      <c r="G400" t="s">
        <v>38</v>
      </c>
      <c r="H400" t="s">
        <v>17</v>
      </c>
      <c r="I400">
        <v>23992</v>
      </c>
      <c r="J400">
        <v>2181</v>
      </c>
      <c r="K400" t="s">
        <v>33</v>
      </c>
      <c r="L400" t="s">
        <v>885</v>
      </c>
    </row>
    <row r="401" spans="1:12" x14ac:dyDescent="0.35">
      <c r="A401" t="s">
        <v>886</v>
      </c>
      <c r="B401">
        <v>46001</v>
      </c>
      <c r="C401" t="s">
        <v>72</v>
      </c>
      <c r="D401" t="s">
        <v>132</v>
      </c>
      <c r="E401" t="s">
        <v>247</v>
      </c>
      <c r="F401">
        <v>21241</v>
      </c>
      <c r="G401" t="s">
        <v>23</v>
      </c>
      <c r="H401" t="s">
        <v>17</v>
      </c>
      <c r="I401">
        <v>26881</v>
      </c>
      <c r="J401">
        <v>5640</v>
      </c>
      <c r="K401" t="s">
        <v>62</v>
      </c>
      <c r="L401" t="s">
        <v>887</v>
      </c>
    </row>
    <row r="402" spans="1:12" x14ac:dyDescent="0.35">
      <c r="A402" t="s">
        <v>888</v>
      </c>
      <c r="B402">
        <v>45998</v>
      </c>
      <c r="C402" t="s">
        <v>72</v>
      </c>
      <c r="D402" t="s">
        <v>54</v>
      </c>
      <c r="E402" t="s">
        <v>79</v>
      </c>
      <c r="F402">
        <v>13659</v>
      </c>
      <c r="G402" t="s">
        <v>51</v>
      </c>
      <c r="H402" t="s">
        <v>17</v>
      </c>
      <c r="I402">
        <v>16704</v>
      </c>
      <c r="J402">
        <v>3045</v>
      </c>
      <c r="K402" t="s">
        <v>69</v>
      </c>
      <c r="L402" t="s">
        <v>889</v>
      </c>
    </row>
    <row r="403" spans="1:12" x14ac:dyDescent="0.35">
      <c r="A403" t="s">
        <v>890</v>
      </c>
      <c r="B403">
        <v>46013</v>
      </c>
      <c r="C403" t="s">
        <v>72</v>
      </c>
      <c r="D403" t="s">
        <v>31</v>
      </c>
      <c r="E403" t="s">
        <v>177</v>
      </c>
      <c r="F403">
        <v>104949</v>
      </c>
      <c r="G403" t="s">
        <v>16</v>
      </c>
      <c r="H403" t="s">
        <v>17</v>
      </c>
      <c r="I403">
        <v>122424</v>
      </c>
      <c r="J403">
        <v>17475</v>
      </c>
      <c r="K403" t="s">
        <v>28</v>
      </c>
      <c r="L403" t="s">
        <v>891</v>
      </c>
    </row>
    <row r="404" spans="1:12" x14ac:dyDescent="0.35">
      <c r="A404" t="s">
        <v>892</v>
      </c>
      <c r="B404">
        <v>46005</v>
      </c>
      <c r="C404" t="s">
        <v>72</v>
      </c>
      <c r="D404" t="s">
        <v>21</v>
      </c>
      <c r="E404" t="s">
        <v>73</v>
      </c>
      <c r="F404">
        <v>41245</v>
      </c>
      <c r="G404" t="s">
        <v>38</v>
      </c>
      <c r="H404" t="s">
        <v>17</v>
      </c>
      <c r="I404">
        <v>54490</v>
      </c>
      <c r="J404">
        <v>13245</v>
      </c>
      <c r="K404" t="s">
        <v>80</v>
      </c>
      <c r="L404" t="s">
        <v>893</v>
      </c>
    </row>
    <row r="405" spans="1:12" x14ac:dyDescent="0.35">
      <c r="A405" t="s">
        <v>894</v>
      </c>
      <c r="B405">
        <v>46010</v>
      </c>
      <c r="C405" t="s">
        <v>72</v>
      </c>
      <c r="D405" t="s">
        <v>58</v>
      </c>
      <c r="E405" t="s">
        <v>83</v>
      </c>
      <c r="F405">
        <v>72143</v>
      </c>
      <c r="G405" t="s">
        <v>38</v>
      </c>
      <c r="H405" t="s">
        <v>17</v>
      </c>
      <c r="I405">
        <v>85615</v>
      </c>
      <c r="J405">
        <v>13472</v>
      </c>
      <c r="K405" t="s">
        <v>116</v>
      </c>
      <c r="L405" t="s">
        <v>895</v>
      </c>
    </row>
    <row r="406" spans="1:12" x14ac:dyDescent="0.35">
      <c r="A406" t="s">
        <v>896</v>
      </c>
      <c r="B406">
        <v>46012</v>
      </c>
      <c r="C406" t="s">
        <v>92</v>
      </c>
      <c r="D406" t="s">
        <v>31</v>
      </c>
      <c r="E406" t="s">
        <v>184</v>
      </c>
      <c r="F406">
        <v>84094</v>
      </c>
      <c r="G406" t="s">
        <v>23</v>
      </c>
      <c r="H406" t="s">
        <v>17</v>
      </c>
      <c r="I406">
        <v>108263</v>
      </c>
      <c r="J406">
        <v>24169</v>
      </c>
      <c r="K406" t="s">
        <v>28</v>
      </c>
      <c r="L406" t="s">
        <v>897</v>
      </c>
    </row>
    <row r="407" spans="1:12" x14ac:dyDescent="0.35">
      <c r="A407" t="s">
        <v>898</v>
      </c>
      <c r="B407">
        <v>46008</v>
      </c>
      <c r="C407" t="s">
        <v>92</v>
      </c>
      <c r="D407" t="s">
        <v>14</v>
      </c>
      <c r="E407" t="s">
        <v>93</v>
      </c>
      <c r="F407">
        <v>36849</v>
      </c>
      <c r="G407" t="s">
        <v>23</v>
      </c>
      <c r="H407" t="s">
        <v>43</v>
      </c>
      <c r="I407">
        <v>39764</v>
      </c>
      <c r="J407">
        <v>2915</v>
      </c>
      <c r="K407" t="s">
        <v>69</v>
      </c>
      <c r="L407" t="s">
        <v>899</v>
      </c>
    </row>
    <row r="408" spans="1:12" x14ac:dyDescent="0.35">
      <c r="A408" t="s">
        <v>900</v>
      </c>
      <c r="B408">
        <v>46013</v>
      </c>
      <c r="C408" t="s">
        <v>92</v>
      </c>
      <c r="D408" t="s">
        <v>26</v>
      </c>
      <c r="E408" t="s">
        <v>191</v>
      </c>
      <c r="F408">
        <v>6659</v>
      </c>
      <c r="G408" t="s">
        <v>38</v>
      </c>
      <c r="H408" t="s">
        <v>17</v>
      </c>
      <c r="I408">
        <v>6902</v>
      </c>
      <c r="J408">
        <v>243</v>
      </c>
      <c r="K408" t="s">
        <v>69</v>
      </c>
      <c r="L408" t="s">
        <v>901</v>
      </c>
    </row>
    <row r="409" spans="1:12" x14ac:dyDescent="0.35">
      <c r="A409" t="s">
        <v>902</v>
      </c>
      <c r="B409">
        <v>46012</v>
      </c>
      <c r="C409" t="s">
        <v>92</v>
      </c>
      <c r="D409" t="s">
        <v>21</v>
      </c>
      <c r="E409" t="s">
        <v>106</v>
      </c>
      <c r="F409">
        <v>96620</v>
      </c>
      <c r="G409" t="s">
        <v>16</v>
      </c>
      <c r="H409" t="s">
        <v>17</v>
      </c>
      <c r="I409">
        <v>100148</v>
      </c>
      <c r="J409">
        <v>3528</v>
      </c>
      <c r="K409" t="s">
        <v>116</v>
      </c>
      <c r="L409" t="s">
        <v>903</v>
      </c>
    </row>
    <row r="410" spans="1:12" x14ac:dyDescent="0.35">
      <c r="A410" t="s">
        <v>904</v>
      </c>
      <c r="B410">
        <v>45992</v>
      </c>
      <c r="C410" t="s">
        <v>92</v>
      </c>
      <c r="D410" t="s">
        <v>58</v>
      </c>
      <c r="E410" t="s">
        <v>99</v>
      </c>
      <c r="F410">
        <v>57620</v>
      </c>
      <c r="G410" t="s">
        <v>38</v>
      </c>
      <c r="H410" t="s">
        <v>17</v>
      </c>
      <c r="I410">
        <v>74178</v>
      </c>
      <c r="J410">
        <v>16558</v>
      </c>
      <c r="K410" t="s">
        <v>80</v>
      </c>
      <c r="L410" t="s">
        <v>905</v>
      </c>
    </row>
    <row r="411" spans="1:12" x14ac:dyDescent="0.35">
      <c r="A411" t="s">
        <v>906</v>
      </c>
      <c r="B411">
        <v>46019</v>
      </c>
      <c r="C411" t="s">
        <v>92</v>
      </c>
      <c r="D411" t="s">
        <v>54</v>
      </c>
      <c r="E411" t="s">
        <v>96</v>
      </c>
      <c r="F411">
        <v>7998</v>
      </c>
      <c r="G411" t="s">
        <v>51</v>
      </c>
      <c r="H411" t="s">
        <v>43</v>
      </c>
      <c r="I411">
        <v>8600</v>
      </c>
      <c r="J411">
        <v>602</v>
      </c>
      <c r="K411" t="s">
        <v>33</v>
      </c>
      <c r="L411" t="s">
        <v>907</v>
      </c>
    </row>
    <row r="412" spans="1:12" x14ac:dyDescent="0.35">
      <c r="A412" t="s">
        <v>908</v>
      </c>
      <c r="B412">
        <v>46016</v>
      </c>
      <c r="C412" t="s">
        <v>92</v>
      </c>
      <c r="D412" t="s">
        <v>31</v>
      </c>
      <c r="E412" t="s">
        <v>184</v>
      </c>
      <c r="F412">
        <v>181340</v>
      </c>
      <c r="G412" t="s">
        <v>16</v>
      </c>
      <c r="H412" t="s">
        <v>43</v>
      </c>
      <c r="I412">
        <v>241672</v>
      </c>
      <c r="J412">
        <v>60332</v>
      </c>
      <c r="K412" t="s">
        <v>39</v>
      </c>
      <c r="L412" t="s">
        <v>909</v>
      </c>
    </row>
    <row r="413" spans="1:12" x14ac:dyDescent="0.35">
      <c r="A413" t="s">
        <v>910</v>
      </c>
      <c r="B413">
        <v>45992</v>
      </c>
      <c r="C413" t="s">
        <v>114</v>
      </c>
      <c r="D413" t="s">
        <v>26</v>
      </c>
      <c r="E413" t="s">
        <v>119</v>
      </c>
      <c r="F413">
        <v>3027</v>
      </c>
      <c r="G413" t="s">
        <v>23</v>
      </c>
      <c r="H413" t="s">
        <v>17</v>
      </c>
      <c r="I413">
        <v>3302</v>
      </c>
      <c r="J413">
        <v>275</v>
      </c>
      <c r="K413" t="s">
        <v>116</v>
      </c>
      <c r="L413" t="s">
        <v>911</v>
      </c>
    </row>
    <row r="414" spans="1:12" x14ac:dyDescent="0.35">
      <c r="A414" t="s">
        <v>912</v>
      </c>
      <c r="B414">
        <v>45999</v>
      </c>
      <c r="C414" t="s">
        <v>114</v>
      </c>
      <c r="D414" t="s">
        <v>14</v>
      </c>
      <c r="E414" t="s">
        <v>284</v>
      </c>
      <c r="F414">
        <v>23460</v>
      </c>
      <c r="G414" t="s">
        <v>51</v>
      </c>
      <c r="H414" t="s">
        <v>17</v>
      </c>
      <c r="I414">
        <v>33672</v>
      </c>
      <c r="J414">
        <v>10212</v>
      </c>
      <c r="K414" t="s">
        <v>66</v>
      </c>
      <c r="L414" t="s">
        <v>913</v>
      </c>
    </row>
    <row r="415" spans="1:12" x14ac:dyDescent="0.35">
      <c r="A415" t="s">
        <v>914</v>
      </c>
      <c r="B415">
        <v>45998</v>
      </c>
      <c r="C415" t="s">
        <v>114</v>
      </c>
      <c r="D415" t="s">
        <v>36</v>
      </c>
      <c r="E415" t="s">
        <v>129</v>
      </c>
      <c r="F415">
        <v>40530</v>
      </c>
      <c r="G415" t="s">
        <v>16</v>
      </c>
      <c r="H415" t="s">
        <v>17</v>
      </c>
      <c r="I415">
        <v>45251</v>
      </c>
      <c r="J415">
        <v>4721</v>
      </c>
      <c r="K415" t="s">
        <v>39</v>
      </c>
      <c r="L415" t="s">
        <v>915</v>
      </c>
    </row>
    <row r="416" spans="1:12" x14ac:dyDescent="0.35">
      <c r="A416" t="s">
        <v>916</v>
      </c>
      <c r="B416">
        <v>46019</v>
      </c>
      <c r="C416" t="s">
        <v>114</v>
      </c>
      <c r="D416" t="s">
        <v>14</v>
      </c>
      <c r="E416" t="s">
        <v>284</v>
      </c>
      <c r="F416">
        <v>26583</v>
      </c>
      <c r="G416" t="s">
        <v>51</v>
      </c>
      <c r="H416" t="s">
        <v>17</v>
      </c>
      <c r="I416">
        <v>26921</v>
      </c>
      <c r="J416">
        <v>338</v>
      </c>
      <c r="K416" t="s">
        <v>80</v>
      </c>
      <c r="L416" t="s">
        <v>917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A82" workbookViewId="0">
      <selection activeCell="G313" sqref="G313"/>
    </sheetView>
  </sheetViews>
  <sheetFormatPr defaultRowHeight="14.5" x14ac:dyDescent="0.35"/>
  <cols>
    <col min="1" max="1" width="12.26953125" bestFit="1" customWidth="1"/>
    <col min="2" max="2" width="11.36328125" bestFit="1" customWidth="1"/>
    <col min="3" max="3" width="13.08984375" bestFit="1" customWidth="1"/>
    <col min="4" max="4" width="13" bestFit="1" customWidth="1"/>
    <col min="5" max="5" width="31.1796875" bestFit="1" customWidth="1"/>
    <col min="6" max="6" width="14.26953125" bestFit="1" customWidth="1"/>
    <col min="7" max="7" width="17.1796875" bestFit="1" customWidth="1"/>
    <col min="8" max="8" width="11" bestFit="1" customWidth="1"/>
    <col min="9" max="9" width="17.26953125" bestFit="1" customWidth="1"/>
    <col min="10" max="10" width="18.36328125" bestFit="1" customWidth="1"/>
    <col min="11" max="11" width="17.81640625" bestFit="1" customWidth="1"/>
    <col min="12" max="12" width="16.36328125" bestFit="1" customWidth="1"/>
    <col min="13" max="13" width="8.36328125" bestFit="1" customWidth="1"/>
  </cols>
  <sheetData>
    <row r="1" spans="1:13" s="4" customFormat="1" x14ac:dyDescent="0.35">
      <c r="A1" s="4" t="s">
        <v>0</v>
      </c>
      <c r="B1" s="4" t="s">
        <v>1</v>
      </c>
      <c r="C1" s="4" t="s">
        <v>2</v>
      </c>
      <c r="D1" s="4" t="s">
        <v>3</v>
      </c>
      <c r="E1" s="4" t="s">
        <v>4</v>
      </c>
      <c r="F1" s="4" t="s">
        <v>5</v>
      </c>
      <c r="G1" s="4" t="s">
        <v>6</v>
      </c>
      <c r="H1" s="4" t="s">
        <v>7</v>
      </c>
      <c r="I1" s="4" t="s">
        <v>8</v>
      </c>
      <c r="J1" s="4" t="s">
        <v>9</v>
      </c>
      <c r="K1" s="4" t="s">
        <v>10</v>
      </c>
      <c r="L1" s="4" t="s">
        <v>11</v>
      </c>
      <c r="M1" s="4" t="s">
        <v>918</v>
      </c>
    </row>
    <row r="2" spans="1:13" x14ac:dyDescent="0.35">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5">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5">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5">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5">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5">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5">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5">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5">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5">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5">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5">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5">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5">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5">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5">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5">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5">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5">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5">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5">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5">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5">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5">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5">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5">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5">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5">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5">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5">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5">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5">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5">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5">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5">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5">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5">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5">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5">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5">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5">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5">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5">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5">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5">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5">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5">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5">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5">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5">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5">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5">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5">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5">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5">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5">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5">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5">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5">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5">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5">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5">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5">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5">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5">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5">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5">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5">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5">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5">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5">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5">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5">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5">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5">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5">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5">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5">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5">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5">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5">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5">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5">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5">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5">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5">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5">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5">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5">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5">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5">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5">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5">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5">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5">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5">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5">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5">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5">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5">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5">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5">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5">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5">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5">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5">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5">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5">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5">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5">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5">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5">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5">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5">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5">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5">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5">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5">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5">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5">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5">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5">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5">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5">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5">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5">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5">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5">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5">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5">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5">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5">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5">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5">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5">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5">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5">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5">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5">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5">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5">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5">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5">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5">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5">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5">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5">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5">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5">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5">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5">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5">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5">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5">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5">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5">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5">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5">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5">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5">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5">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5">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5">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5">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5">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5">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5">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5">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5">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5">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5">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5">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5">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5">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5">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5">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5">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5">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5">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5">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5">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5">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5">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5">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5">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5">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5">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5">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5">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5">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5">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5">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5">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5">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5">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5">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5">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5">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5">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5">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5">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5">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5">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5">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5">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5">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5">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5">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5">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5">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5">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5">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5">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5">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5">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5">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5">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5">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5">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5">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5">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5">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5">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5">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5">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5">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5">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5">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5">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5">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5">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5">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5">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5">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5">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5">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5">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5">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5">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5">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5">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5">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5">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5">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5">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5">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5">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5">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5">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5">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5">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5">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5">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5">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5">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5">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5">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5">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5">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5">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5">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5">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5">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5">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5">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5">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5">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5">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5">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5">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5">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5">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5">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5">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5">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5">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5">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5">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5">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5">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5">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5">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5">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5">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5">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5">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5">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5">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5">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5">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5">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5">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5">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5">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5">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5">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5">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5">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5">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5">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5">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5">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5">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5">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5">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5">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5">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5">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5">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5">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5">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5">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5">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5">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5">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5">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5">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5">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5">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5">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5">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5">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5">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5">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5">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5">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5">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5">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5">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5">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5">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5">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5">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5">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5">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5">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5">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5">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5">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5">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5">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5">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5">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5">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5">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5">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5">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5">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5">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5">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5">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5">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5">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5">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5">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5">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5">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5">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5">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5">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5">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5">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5">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5">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5">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5">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5">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5">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5">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5">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5">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5">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5">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5">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5">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5">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5">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5">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5">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5">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5">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5">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5">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5">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5">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5">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5">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5">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5">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5">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5">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5">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5">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5">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5">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5">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5">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5">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5">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5">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5">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5">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5">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5">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5">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5">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5">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5">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5">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5">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5">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5">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5">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5">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5">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8BB2E-FB69-4BAE-867D-AB482AF7AB74}">
  <dimension ref="A1:O62"/>
  <sheetViews>
    <sheetView workbookViewId="0">
      <selection activeCell="F16" sqref="F16"/>
    </sheetView>
  </sheetViews>
  <sheetFormatPr defaultRowHeight="14.5" x14ac:dyDescent="0.35"/>
  <cols>
    <col min="1" max="1" width="17.1796875" bestFit="1" customWidth="1"/>
    <col min="2" max="2" width="18.1796875" bestFit="1" customWidth="1"/>
    <col min="3" max="3" width="17.6328125" bestFit="1" customWidth="1"/>
    <col min="4" max="4" width="13.08984375" bestFit="1" customWidth="1"/>
    <col min="5" max="5" width="11.453125" bestFit="1" customWidth="1"/>
    <col min="6" max="6" width="21.36328125" bestFit="1" customWidth="1"/>
    <col min="7" max="7" width="17.6328125" bestFit="1" customWidth="1"/>
    <col min="8" max="9" width="18.1796875" bestFit="1" customWidth="1"/>
    <col min="10" max="10" width="11" bestFit="1" customWidth="1"/>
    <col min="11" max="11" width="18.36328125" bestFit="1" customWidth="1"/>
    <col min="12" max="12" width="17.6328125" bestFit="1" customWidth="1"/>
    <col min="13" max="13" width="18.1796875" bestFit="1" customWidth="1"/>
    <col min="14" max="14" width="21.36328125" bestFit="1" customWidth="1"/>
    <col min="15" max="15" width="22.26953125" bestFit="1" customWidth="1"/>
    <col min="16" max="16" width="17.6328125" bestFit="1" customWidth="1"/>
  </cols>
  <sheetData>
    <row r="1" spans="1:8" x14ac:dyDescent="0.35">
      <c r="A1" s="5" t="s">
        <v>7</v>
      </c>
      <c r="B1" t="s">
        <v>920</v>
      </c>
      <c r="C1" t="s">
        <v>933</v>
      </c>
      <c r="D1" s="14" t="s">
        <v>920</v>
      </c>
      <c r="E1" s="14" t="s">
        <v>934</v>
      </c>
      <c r="F1" s="14" t="s">
        <v>935</v>
      </c>
      <c r="G1" s="14" t="s">
        <v>933</v>
      </c>
    </row>
    <row r="2" spans="1:8" x14ac:dyDescent="0.35">
      <c r="A2" t="s">
        <v>43</v>
      </c>
      <c r="B2" s="2">
        <v>3628179</v>
      </c>
      <c r="C2" s="6">
        <v>77</v>
      </c>
      <c r="D2" s="15">
        <v>18405183</v>
      </c>
      <c r="E2" s="15">
        <v>22953950</v>
      </c>
      <c r="F2" s="15">
        <v>4548767</v>
      </c>
      <c r="G2" s="16">
        <v>415</v>
      </c>
    </row>
    <row r="3" spans="1:8" x14ac:dyDescent="0.35">
      <c r="A3" t="s">
        <v>17</v>
      </c>
      <c r="B3" s="2">
        <v>14777004</v>
      </c>
      <c r="C3" s="6">
        <v>338</v>
      </c>
    </row>
    <row r="4" spans="1:8" x14ac:dyDescent="0.35">
      <c r="A4" t="s">
        <v>919</v>
      </c>
      <c r="B4" s="2">
        <v>18405183</v>
      </c>
      <c r="C4">
        <v>415</v>
      </c>
    </row>
    <row r="5" spans="1:8" x14ac:dyDescent="0.35">
      <c r="G5" s="13" t="s">
        <v>918</v>
      </c>
      <c r="H5" s="14" t="s">
        <v>920</v>
      </c>
    </row>
    <row r="6" spans="1:8" x14ac:dyDescent="0.35">
      <c r="G6" s="14" t="s">
        <v>921</v>
      </c>
      <c r="H6" s="15">
        <v>1379978</v>
      </c>
    </row>
    <row r="7" spans="1:8" x14ac:dyDescent="0.35">
      <c r="A7" s="13" t="s">
        <v>3</v>
      </c>
      <c r="B7" s="14" t="s">
        <v>920</v>
      </c>
      <c r="D7" s="13" t="s">
        <v>2</v>
      </c>
      <c r="E7" s="14" t="s">
        <v>920</v>
      </c>
      <c r="G7" s="14" t="s">
        <v>922</v>
      </c>
      <c r="H7" s="15">
        <v>1058599</v>
      </c>
    </row>
    <row r="8" spans="1:8" x14ac:dyDescent="0.35">
      <c r="A8" s="14" t="s">
        <v>31</v>
      </c>
      <c r="B8" s="15">
        <v>6030171</v>
      </c>
      <c r="D8" s="14" t="s">
        <v>13</v>
      </c>
      <c r="E8" s="15">
        <v>3366315</v>
      </c>
      <c r="G8" s="14" t="s">
        <v>923</v>
      </c>
      <c r="H8" s="15">
        <v>1179601</v>
      </c>
    </row>
    <row r="9" spans="1:8" x14ac:dyDescent="0.35">
      <c r="A9" s="14" t="s">
        <v>36</v>
      </c>
      <c r="B9" s="15">
        <v>3671418</v>
      </c>
      <c r="D9" s="14" t="s">
        <v>92</v>
      </c>
      <c r="E9" s="15">
        <v>2611075</v>
      </c>
      <c r="G9" s="14" t="s">
        <v>924</v>
      </c>
      <c r="H9" s="15">
        <v>1317668</v>
      </c>
    </row>
    <row r="10" spans="1:8" x14ac:dyDescent="0.35">
      <c r="A10" s="14" t="s">
        <v>21</v>
      </c>
      <c r="B10" s="15">
        <v>3505155</v>
      </c>
      <c r="D10" s="14" t="s">
        <v>72</v>
      </c>
      <c r="E10" s="15">
        <v>3616924</v>
      </c>
      <c r="G10" s="14" t="s">
        <v>925</v>
      </c>
      <c r="H10" s="15">
        <v>1780658</v>
      </c>
    </row>
    <row r="11" spans="1:8" x14ac:dyDescent="0.35">
      <c r="A11" s="14" t="s">
        <v>26</v>
      </c>
      <c r="B11" s="15">
        <v>208093</v>
      </c>
      <c r="D11" s="14" t="s">
        <v>21</v>
      </c>
      <c r="E11" s="15">
        <v>3010276</v>
      </c>
      <c r="G11" s="14" t="s">
        <v>926</v>
      </c>
      <c r="H11" s="15">
        <v>1286080</v>
      </c>
    </row>
    <row r="12" spans="1:8" x14ac:dyDescent="0.35">
      <c r="A12" s="14" t="s">
        <v>14</v>
      </c>
      <c r="B12" s="15">
        <v>1743238</v>
      </c>
      <c r="D12" s="14" t="s">
        <v>114</v>
      </c>
      <c r="E12" s="15">
        <v>3346621</v>
      </c>
      <c r="G12" s="14" t="s">
        <v>927</v>
      </c>
      <c r="H12" s="15">
        <v>2119404</v>
      </c>
    </row>
    <row r="13" spans="1:8" x14ac:dyDescent="0.35">
      <c r="A13" s="14" t="s">
        <v>132</v>
      </c>
      <c r="B13" s="15">
        <v>772840</v>
      </c>
      <c r="D13" s="14" t="s">
        <v>46</v>
      </c>
      <c r="E13" s="15">
        <v>2453972</v>
      </c>
      <c r="G13" s="14" t="s">
        <v>928</v>
      </c>
      <c r="H13" s="15">
        <v>1669539</v>
      </c>
    </row>
    <row r="14" spans="1:8" x14ac:dyDescent="0.35">
      <c r="A14" s="14" t="s">
        <v>58</v>
      </c>
      <c r="B14" s="15">
        <v>2023948</v>
      </c>
      <c r="D14" s="14" t="s">
        <v>919</v>
      </c>
      <c r="E14" s="15">
        <v>18405183</v>
      </c>
      <c r="G14" s="14" t="s">
        <v>929</v>
      </c>
      <c r="H14" s="15">
        <v>1913484</v>
      </c>
    </row>
    <row r="15" spans="1:8" x14ac:dyDescent="0.35">
      <c r="A15" s="14" t="s">
        <v>54</v>
      </c>
      <c r="B15" s="15">
        <v>450320</v>
      </c>
      <c r="G15" s="14" t="s">
        <v>930</v>
      </c>
      <c r="H15" s="15">
        <v>1365637</v>
      </c>
    </row>
    <row r="16" spans="1:8" x14ac:dyDescent="0.35">
      <c r="A16" s="14" t="s">
        <v>919</v>
      </c>
      <c r="B16" s="15">
        <v>18405183</v>
      </c>
      <c r="G16" s="14" t="s">
        <v>931</v>
      </c>
      <c r="H16" s="15">
        <v>1795988</v>
      </c>
    </row>
    <row r="17" spans="1:8" x14ac:dyDescent="0.35">
      <c r="G17" s="14" t="s">
        <v>932</v>
      </c>
      <c r="H17" s="15">
        <v>1538547</v>
      </c>
    </row>
    <row r="18" spans="1:8" x14ac:dyDescent="0.35">
      <c r="G18" s="14" t="s">
        <v>919</v>
      </c>
      <c r="H18" s="15">
        <v>18405183</v>
      </c>
    </row>
    <row r="19" spans="1:8" x14ac:dyDescent="0.35">
      <c r="A19" s="13" t="s">
        <v>6</v>
      </c>
      <c r="B19" s="14" t="s">
        <v>920</v>
      </c>
      <c r="D19" s="13" t="s">
        <v>2</v>
      </c>
      <c r="E19" s="14" t="s">
        <v>936</v>
      </c>
      <c r="F19" s="14" t="s">
        <v>934</v>
      </c>
    </row>
    <row r="20" spans="1:8" x14ac:dyDescent="0.35">
      <c r="A20" s="14" t="s">
        <v>51</v>
      </c>
      <c r="B20" s="15">
        <v>4908988</v>
      </c>
      <c r="D20" s="14" t="s">
        <v>13</v>
      </c>
      <c r="E20" s="15">
        <v>3366315</v>
      </c>
      <c r="F20" s="15">
        <v>4162201</v>
      </c>
    </row>
    <row r="21" spans="1:8" x14ac:dyDescent="0.35">
      <c r="A21" s="14" t="s">
        <v>16</v>
      </c>
      <c r="B21" s="15">
        <v>4388835</v>
      </c>
      <c r="D21" s="14" t="s">
        <v>92</v>
      </c>
      <c r="E21" s="15">
        <v>2611075</v>
      </c>
      <c r="F21" s="15">
        <v>3159110</v>
      </c>
    </row>
    <row r="22" spans="1:8" x14ac:dyDescent="0.35">
      <c r="A22" s="14" t="s">
        <v>38</v>
      </c>
      <c r="B22" s="15">
        <v>5477461</v>
      </c>
      <c r="D22" s="14" t="s">
        <v>72</v>
      </c>
      <c r="E22" s="15">
        <v>3616924</v>
      </c>
      <c r="F22" s="15">
        <v>4425089</v>
      </c>
    </row>
    <row r="23" spans="1:8" x14ac:dyDescent="0.35">
      <c r="A23" s="14" t="s">
        <v>23</v>
      </c>
      <c r="B23" s="15">
        <v>3629899</v>
      </c>
      <c r="D23" s="14" t="s">
        <v>21</v>
      </c>
      <c r="E23" s="15">
        <v>3010276</v>
      </c>
      <c r="F23" s="15">
        <v>3898633</v>
      </c>
    </row>
    <row r="24" spans="1:8" x14ac:dyDescent="0.35">
      <c r="A24" s="14" t="s">
        <v>919</v>
      </c>
      <c r="B24" s="15">
        <v>18405183</v>
      </c>
      <c r="D24" s="14" t="s">
        <v>114</v>
      </c>
      <c r="E24" s="15">
        <v>3346621</v>
      </c>
      <c r="F24" s="15">
        <v>4160632</v>
      </c>
    </row>
    <row r="25" spans="1:8" x14ac:dyDescent="0.35">
      <c r="D25" s="14" t="s">
        <v>46</v>
      </c>
      <c r="E25" s="15">
        <v>2453972</v>
      </c>
      <c r="F25" s="15">
        <v>3148285</v>
      </c>
    </row>
    <row r="26" spans="1:8" x14ac:dyDescent="0.35">
      <c r="D26" s="14" t="s">
        <v>919</v>
      </c>
      <c r="E26" s="15">
        <v>18405183</v>
      </c>
      <c r="F26" s="15">
        <v>22953950</v>
      </c>
    </row>
    <row r="50" spans="1:15" x14ac:dyDescent="0.35">
      <c r="A50" s="12" t="s">
        <v>2</v>
      </c>
      <c r="B50" s="12" t="s">
        <v>937</v>
      </c>
      <c r="C50" s="12"/>
      <c r="D50" s="12" t="s">
        <v>3</v>
      </c>
      <c r="E50" s="12" t="s">
        <v>937</v>
      </c>
      <c r="F50" s="12"/>
      <c r="G50" s="12" t="s">
        <v>918</v>
      </c>
      <c r="H50" s="12" t="s">
        <v>937</v>
      </c>
      <c r="I50" s="12"/>
      <c r="J50" s="12" t="s">
        <v>6</v>
      </c>
      <c r="K50" s="12" t="s">
        <v>937</v>
      </c>
      <c r="M50" t="s">
        <v>2</v>
      </c>
      <c r="N50" t="s">
        <v>936</v>
      </c>
      <c r="O50" t="s">
        <v>8</v>
      </c>
    </row>
    <row r="51" spans="1:15" x14ac:dyDescent="0.35">
      <c r="A51" t="str">
        <f>Pivot!$D$8</f>
        <v>Engineering</v>
      </c>
      <c r="B51" s="2">
        <f>Pivot!$E$8</f>
        <v>3366315</v>
      </c>
      <c r="D51" t="str">
        <f>Pivot!$A$8</f>
        <v>Consulting</v>
      </c>
      <c r="E51" s="2">
        <f>Pivot!$B$8</f>
        <v>6030171</v>
      </c>
      <c r="G51" t="str">
        <f>Pivot!$G$6</f>
        <v>Jan</v>
      </c>
      <c r="H51" s="2">
        <f>Pivot!$H$6</f>
        <v>1379978</v>
      </c>
      <c r="J51" t="str">
        <f>Pivot!$A$20</f>
        <v>Bank Transfer</v>
      </c>
      <c r="K51" s="2">
        <f>Pivot!$B$20</f>
        <v>4908988</v>
      </c>
      <c r="M51" t="str">
        <f>Pivot!$D$20</f>
        <v>Engineering</v>
      </c>
      <c r="N51" s="2">
        <f>Pivot!$E$20</f>
        <v>3366315</v>
      </c>
      <c r="O51" s="2">
        <f>Pivot!$F$20</f>
        <v>4162201</v>
      </c>
    </row>
    <row r="52" spans="1:15" x14ac:dyDescent="0.35">
      <c r="A52" t="str">
        <f>Pivot!$D$9</f>
        <v>Finance</v>
      </c>
      <c r="B52" s="2">
        <f>Pivot!$E$9</f>
        <v>2611075</v>
      </c>
      <c r="D52" t="str">
        <f>Pivot!$A$9</f>
        <v>Equipment</v>
      </c>
      <c r="E52" s="2">
        <f>Pivot!$B$9</f>
        <v>3671418</v>
      </c>
      <c r="G52" t="str">
        <f>Pivot!$G$7</f>
        <v>Feb</v>
      </c>
      <c r="H52" s="2">
        <f>Pivot!$H$7</f>
        <v>1058599</v>
      </c>
      <c r="J52" t="str">
        <f>Pivot!$A$21</f>
        <v>Cash</v>
      </c>
      <c r="K52" s="2">
        <f>Pivot!$B$21</f>
        <v>4388835</v>
      </c>
      <c r="M52" t="str">
        <f>Pivot!$D$21</f>
        <v>Finance</v>
      </c>
      <c r="N52" s="2">
        <f>Pivot!$E$21</f>
        <v>2611075</v>
      </c>
      <c r="O52" s="2">
        <f>Pivot!$F$21</f>
        <v>3159110</v>
      </c>
    </row>
    <row r="53" spans="1:15" x14ac:dyDescent="0.35">
      <c r="A53" t="str">
        <f>Pivot!$D$10</f>
        <v>HR</v>
      </c>
      <c r="B53" s="2">
        <f>Pivot!$E$10</f>
        <v>3616924</v>
      </c>
      <c r="D53" t="str">
        <f>Pivot!$A$10</f>
        <v>Marketing</v>
      </c>
      <c r="E53" s="2">
        <f>Pivot!$B$10</f>
        <v>3505155</v>
      </c>
      <c r="G53" t="str">
        <f>Pivot!$G$8</f>
        <v>Mar</v>
      </c>
      <c r="H53" s="2">
        <f>Pivot!$H$8</f>
        <v>1179601</v>
      </c>
      <c r="J53" t="str">
        <f>Pivot!$A$22</f>
        <v>Cheque</v>
      </c>
      <c r="K53" s="2">
        <f>Pivot!$B$22</f>
        <v>5477461</v>
      </c>
      <c r="M53" t="str">
        <f>Pivot!$D$22</f>
        <v>HR</v>
      </c>
      <c r="N53" s="2">
        <f>Pivot!$E$22</f>
        <v>3616924</v>
      </c>
      <c r="O53" s="2">
        <f>Pivot!$F$22</f>
        <v>4425089</v>
      </c>
    </row>
    <row r="54" spans="1:15" x14ac:dyDescent="0.35">
      <c r="A54" t="str">
        <f>Pivot!$D$11</f>
        <v>Marketing</v>
      </c>
      <c r="B54" s="2">
        <f>Pivot!$E$11</f>
        <v>3010276</v>
      </c>
      <c r="D54" t="str">
        <f>Pivot!$A$11</f>
        <v>Office Supplies</v>
      </c>
      <c r="E54" s="2">
        <f>Pivot!$B$11</f>
        <v>208093</v>
      </c>
      <c r="G54" t="str">
        <f>Pivot!$G$9</f>
        <v>Apr</v>
      </c>
      <c r="H54" s="2">
        <f>Pivot!$H$9</f>
        <v>1317668</v>
      </c>
      <c r="J54" t="str">
        <f>Pivot!$A$23</f>
        <v>Credit Card</v>
      </c>
      <c r="K54" s="2">
        <f>Pivot!$B$23</f>
        <v>3629899</v>
      </c>
      <c r="M54" t="str">
        <f>Pivot!$D$23</f>
        <v>Marketing</v>
      </c>
      <c r="N54" s="2">
        <f>Pivot!$E$23</f>
        <v>3010276</v>
      </c>
      <c r="O54" s="2">
        <f>Pivot!$F$23</f>
        <v>3898633</v>
      </c>
    </row>
    <row r="55" spans="1:15" x14ac:dyDescent="0.35">
      <c r="A55" t="str">
        <f>Pivot!$D$12</f>
        <v>Operations</v>
      </c>
      <c r="B55" s="2">
        <f>Pivot!$E$12</f>
        <v>3346621</v>
      </c>
      <c r="D55" t="str">
        <f>Pivot!$A$12</f>
        <v>Software</v>
      </c>
      <c r="E55" s="2">
        <f>Pivot!$B$12</f>
        <v>1743238</v>
      </c>
      <c r="G55" t="str">
        <f>Pivot!$G$10</f>
        <v>May</v>
      </c>
      <c r="H55" s="2">
        <f>Pivot!$H$10</f>
        <v>1780658</v>
      </c>
      <c r="M55" t="str">
        <f>Pivot!$D$24</f>
        <v>Operations</v>
      </c>
      <c r="N55" s="2">
        <f>Pivot!$E$24</f>
        <v>3346621</v>
      </c>
      <c r="O55" s="2">
        <f>Pivot!$F$24</f>
        <v>4160632</v>
      </c>
    </row>
    <row r="56" spans="1:15" x14ac:dyDescent="0.35">
      <c r="A56" t="str">
        <f>Pivot!$D$13</f>
        <v>Sales</v>
      </c>
      <c r="B56" s="2">
        <f>Pivot!$E$13</f>
        <v>2453972</v>
      </c>
      <c r="D56" t="str">
        <f>Pivot!$A$13</f>
        <v>Training</v>
      </c>
      <c r="E56" s="2">
        <f>Pivot!$B$13</f>
        <v>772840</v>
      </c>
      <c r="G56" t="str">
        <f>Pivot!$G$11</f>
        <v>Jun</v>
      </c>
      <c r="H56" s="2">
        <f>Pivot!$H$11</f>
        <v>1286080</v>
      </c>
      <c r="M56" t="str">
        <f>Pivot!$D$25</f>
        <v>Sales</v>
      </c>
      <c r="N56" s="2">
        <f>Pivot!$E$25</f>
        <v>2453972</v>
      </c>
      <c r="O56" s="2">
        <f>Pivot!$F$25</f>
        <v>3148285</v>
      </c>
    </row>
    <row r="57" spans="1:15" x14ac:dyDescent="0.35">
      <c r="D57" t="str">
        <f>Pivot!$A$14</f>
        <v>Travel</v>
      </c>
      <c r="E57" s="2">
        <f>Pivot!$B$14</f>
        <v>2023948</v>
      </c>
      <c r="G57" t="str">
        <f>Pivot!$G$12</f>
        <v>Jul</v>
      </c>
      <c r="H57" s="2">
        <f>Pivot!$H$12</f>
        <v>2119404</v>
      </c>
    </row>
    <row r="58" spans="1:15" x14ac:dyDescent="0.35">
      <c r="D58" t="str">
        <f>Pivot!$A$15</f>
        <v>Utilities</v>
      </c>
      <c r="E58" s="2">
        <f>Pivot!$B$15</f>
        <v>450320</v>
      </c>
      <c r="G58" t="str">
        <f>Pivot!$G$13</f>
        <v>Aug</v>
      </c>
      <c r="H58" s="2">
        <f>Pivot!$H$13</f>
        <v>1669539</v>
      </c>
    </row>
    <row r="59" spans="1:15" x14ac:dyDescent="0.35">
      <c r="G59" t="str">
        <f>Pivot!$G$14</f>
        <v>Sep</v>
      </c>
      <c r="H59" s="2">
        <f>Pivot!$H$14</f>
        <v>1913484</v>
      </c>
    </row>
    <row r="60" spans="1:15" x14ac:dyDescent="0.35">
      <c r="G60" t="str">
        <f>Pivot!$G$15</f>
        <v>Oct</v>
      </c>
      <c r="H60" s="2">
        <f>Pivot!$H$15</f>
        <v>1365637</v>
      </c>
    </row>
    <row r="61" spans="1:15" x14ac:dyDescent="0.35">
      <c r="G61" t="str">
        <f>Pivot!$G$16</f>
        <v>Nov</v>
      </c>
      <c r="H61" s="2">
        <f>Pivot!$H$16</f>
        <v>1795988</v>
      </c>
    </row>
    <row r="62" spans="1:15" x14ac:dyDescent="0.35">
      <c r="G62" t="str">
        <f>Pivot!$G$17</f>
        <v>Dec</v>
      </c>
      <c r="H62" s="2">
        <f>Pivot!$H$17</f>
        <v>1538547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C6F05-8ECA-46CF-AB31-779025210362}">
  <sheetPr>
    <pageSetUpPr fitToPage="1"/>
  </sheetPr>
  <dimension ref="A1:AF29"/>
  <sheetViews>
    <sheetView showGridLines="0" tabSelected="1" zoomScale="68" zoomScaleNormal="68" workbookViewId="0">
      <selection activeCell="AE20" sqref="AE20"/>
    </sheetView>
  </sheetViews>
  <sheetFormatPr defaultRowHeight="13" x14ac:dyDescent="0.3"/>
  <cols>
    <col min="1" max="30" width="7.90625" style="7" customWidth="1"/>
    <col min="31" max="31" width="8.7265625" style="7"/>
    <col min="32" max="33" width="0" style="7" hidden="1" customWidth="1"/>
    <col min="34" max="16384" width="8.7265625" style="7"/>
  </cols>
  <sheetData>
    <row r="1" spans="1:32" ht="22" customHeight="1"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row>
    <row r="2" spans="1:32" ht="22" customHeight="1"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F2" s="8">
        <f>IFERROR(GETPIVOTDATA("Sum of Amount (INR)",Pivot!$D$1),0)</f>
        <v>18405183</v>
      </c>
    </row>
    <row r="3" spans="1:32" ht="22" customHeight="1"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F3" s="8">
        <f>IFERROR(GETPIVOTDATA("Sum of Budget Allocated",Pivot!$D$1),0)</f>
        <v>22953950</v>
      </c>
    </row>
    <row r="4" spans="1:32" ht="18" customHeight="1"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F4" s="8">
        <f>IFERROR(GETPIVOTDATA("Sum of Budget Remaining",Pivot!$D$1),0)</f>
        <v>4548767</v>
      </c>
    </row>
    <row r="5" spans="1:32" ht="18" customHeight="1"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F5" s="9">
        <f>IFERROR(GETPIVOTDATA("Count of Expense ID",Pivot!$D$1),0)</f>
        <v>415</v>
      </c>
    </row>
    <row r="6" spans="1:32" ht="18" customHeight="1"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F6" s="10">
        <f>IFERROR(GETPIVOTDATA("Count of Expense ID",Pivot!$A$1,"Approved","Yes")/AF5,0)</f>
        <v>0.81445783132530125</v>
      </c>
    </row>
    <row r="7" spans="1:32" ht="18" customHeight="1"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F7" s="8">
        <f>IFERROR(AF2/AF5,0)</f>
        <v>44349.838554216869</v>
      </c>
    </row>
    <row r="8" spans="1:32" ht="18" customHeight="1"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row>
    <row r="9" spans="1:32" ht="18" customHeight="1"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row>
    <row r="10" spans="1:32" ht="18" customHeight="1"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row>
    <row r="11" spans="1:32" ht="18" customHeight="1"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row>
    <row r="12" spans="1:32" ht="18" customHeight="1"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row>
    <row r="13" spans="1:32" ht="18" customHeight="1"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row>
    <row r="14" spans="1:32" ht="18" customHeight="1"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row>
    <row r="15" spans="1:32" ht="18" customHeight="1"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row>
    <row r="16" spans="1:32" ht="18" customHeight="1"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row>
    <row r="17" spans="1:30" ht="18" customHeight="1"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row>
    <row r="18" spans="1:30" ht="18" customHeight="1"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row>
    <row r="19" spans="1:30" ht="18" customHeight="1"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row>
    <row r="20" spans="1:30" ht="18" customHeight="1"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row>
    <row r="21" spans="1:30" ht="18" customHeight="1"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row>
    <row r="22" spans="1:30" ht="18" customHeight="1"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row>
    <row r="23" spans="1:30" ht="18" customHeight="1"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row>
    <row r="24" spans="1:30" ht="18" customHeight="1"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row>
    <row r="25" spans="1:30" ht="18" customHeight="1"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row>
    <row r="26" spans="1:30" ht="18" customHeight="1"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row>
    <row r="27" spans="1:30" ht="18" customHeight="1"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row>
    <row r="28" spans="1:30" ht="18" customHeight="1"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row>
    <row r="29" spans="1:30" ht="18" customHeight="1"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Row data</vt: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Abdulkadir Abdullahi Mohamed</cp:lastModifiedBy>
  <dcterms:created xsi:type="dcterms:W3CDTF">2026-05-19T08:07:04Z</dcterms:created>
  <dcterms:modified xsi:type="dcterms:W3CDTF">2026-06-20T11:41:50Z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